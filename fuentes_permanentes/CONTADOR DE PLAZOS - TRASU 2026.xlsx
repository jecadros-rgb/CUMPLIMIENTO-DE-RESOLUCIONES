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showInkAnnotation="0" defaultThemeVersion="124226"/>
  <bookViews>
    <workbookView xWindow="0" yWindow="0" windowWidth="20490" windowHeight="7620" tabRatio="826" activeTab="1"/>
  </bookViews>
  <sheets>
    <sheet name="EO-usuario" sheetId="3" r:id="rId1"/>
    <sheet name="TRASU" sheetId="6" r:id="rId2"/>
    <sheet name="Calculadora libre" sheetId="9" r:id="rId3"/>
    <sheet name="No laborables" sheetId="7" r:id="rId4"/>
    <sheet name="No laborables (2)" sheetId="8" r:id="rId5"/>
    <sheet name="Competencias" sheetId="2" r:id="rId6"/>
    <sheet name="Data" sheetId="4" state="hidden" r:id="rId7"/>
  </sheets>
  <definedNames>
    <definedName name="_xlnm._FilterDatabase" localSheetId="3" hidden="1">'No laborables'!$B$6:$C$36</definedName>
    <definedName name="_xlnm._FilterDatabase" localSheetId="4" hidden="1">'No laborables (2)'!$B$6:$C$36</definedName>
    <definedName name="calen">Data!#REF!</definedName>
    <definedName name="diascal">Data!$L$1:$L$721</definedName>
    <definedName name="fecha2020">Data!$B$1:$B$1978</definedName>
    <definedName name="fechas">Data!$B$1:$B$517</definedName>
    <definedName name="fechas2">Data!$B$1:$B$882</definedName>
    <definedName name="fechas3">Data!$B$1:$B$517</definedName>
    <definedName name="fechass">Data!$B$1:$B$1612</definedName>
    <definedName name="fff">Data!$B$1:$B$1247</definedName>
    <definedName name="habil">Data!$I$1:$I$2</definedName>
    <definedName name="lugar">Data!$H$1:$H$2</definedName>
    <definedName name="papa">Data!$J$1:$J$2</definedName>
    <definedName name="plaz2">Data!$D$1:$D$2</definedName>
    <definedName name="recu">Data!$A$1:$A$2</definedName>
    <definedName name="SINO">Data!$G$1:$G$2</definedName>
    <definedName name="tipo">Data!$C$1:$C$3</definedName>
    <definedName name="tipo2">Data!$E$1:$E$2</definedName>
    <definedName name="TIPO3">Data!$C$2:$C$3</definedName>
    <definedName name="tipo4">Data!$F$1:$F$2</definedName>
    <definedName name="TIPODIA">Data!$K$1:$K$2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3" i="9" l="1"/>
  <c r="Q9" i="6"/>
  <c r="Q11" i="6" s="1"/>
  <c r="Q13" i="6" s="1"/>
  <c r="H9" i="6"/>
  <c r="H11" i="6" s="1"/>
  <c r="H13" i="6" s="1"/>
  <c r="H27" i="3"/>
  <c r="Q9" i="3"/>
  <c r="H9" i="3"/>
  <c r="H11" i="3" s="1"/>
  <c r="T26" i="6" l="1"/>
  <c r="T32" i="3"/>
  <c r="B25" i="6" l="1"/>
  <c r="L25" i="6" l="1"/>
  <c r="C14" i="3" l="1"/>
  <c r="C16" i="6"/>
  <c r="M17" i="6"/>
  <c r="M13" i="3" l="1"/>
  <c r="F27" i="3"/>
  <c r="F9" i="6" l="1"/>
  <c r="F9" i="3" l="1"/>
  <c r="O7" i="3"/>
</calcChain>
</file>

<file path=xl/sharedStrings.xml><?xml version="1.0" encoding="utf-8"?>
<sst xmlns="http://schemas.openxmlformats.org/spreadsheetml/2006/main" count="257" uniqueCount="125">
  <si>
    <t>COMPETENCIA SALAS UNIPERSONALES</t>
  </si>
  <si>
    <t>Por infracción de plazos ( ER solicita se aplique el SAP)</t>
  </si>
  <si>
    <t>Por suspensión o corte del servicio con reclamo en trámite</t>
  </si>
  <si>
    <t>Por requerimiento de pago del importe reclamado o por negativa a recibir el pago del importe que no es reclamado.</t>
  </si>
  <si>
    <t>Por negativa a recibir el reclamo, recurso de queja o por no otorgar el código de reclamo o queja.</t>
  </si>
  <si>
    <t>Cualquier otro defecto en la tramitación que implique una transgresión normativa.</t>
  </si>
  <si>
    <t>Suspensión, corte o baja injustificada</t>
  </si>
  <si>
    <t>Traslado del servicio</t>
  </si>
  <si>
    <t>Tarjetas de pago físicas o virtuales</t>
  </si>
  <si>
    <t>Falta de entrega de recibo o copia de recibo</t>
  </si>
  <si>
    <t>Facturación detallada</t>
  </si>
  <si>
    <t>Suspensión por Uso Prohibido</t>
  </si>
  <si>
    <t>Desbloqueo de equipo</t>
  </si>
  <si>
    <t>Cambio de titularidad</t>
  </si>
  <si>
    <t>Facturación cuyo importe reclamado sea igual o menor al 0.5% de una UIT.</t>
  </si>
  <si>
    <t>Portabilidad</t>
  </si>
  <si>
    <t>Negativa a aceptar la solicitud de portabilidad</t>
  </si>
  <si>
    <t>Rechazo a la Solicitud de portabilidad</t>
  </si>
  <si>
    <t>Falta de consentimiento del abonado (portabilidad no solicitada)</t>
  </si>
  <si>
    <t>APELACIÓN </t>
  </si>
  <si>
    <t>QUEJA</t>
  </si>
  <si>
    <t>Facturación cuyo importe reclamado sea mayor a S/. 100. Nuevos Soles.</t>
  </si>
  <si>
    <t>Cobro del servicio cuando el importe reclamado sea mayor a S/. 100. Nuevos Soles.</t>
  </si>
  <si>
    <t>Calidad</t>
  </si>
  <si>
    <t>Idoneidad</t>
  </si>
  <si>
    <t>Veracidad en la información</t>
  </si>
  <si>
    <t>Instalación o activación</t>
  </si>
  <si>
    <t>Contratación no solicitada</t>
  </si>
  <si>
    <t>Incumplimiento de las condiciones contractuales</t>
  </si>
  <si>
    <t>Incumplimiento de ofertas y promociones</t>
  </si>
  <si>
    <t>Demás materias reclamables distintas a las detalladas en el punto anterior.</t>
  </si>
  <si>
    <t>A</t>
  </si>
  <si>
    <t>B</t>
  </si>
  <si>
    <t>C</t>
  </si>
  <si>
    <t>Plazo de solución es de trece (13) días hábiles</t>
  </si>
  <si>
    <t>Cuyo plazo de solución sea de quince (15) días hábiles</t>
  </si>
  <si>
    <t>Cuyo plazo de solución sea de veinticinco (25) días hábiles</t>
  </si>
  <si>
    <t>Cuyo plazo de solución sea veinticinco (25) días hábiles debido a que el importe reclamado sea mayor al 0.5% de una UIT pero no supere los S/100.00 soles (menor cuantía) incluido el cobro del servicio.</t>
  </si>
  <si>
    <t>Fecha de reclamo</t>
  </si>
  <si>
    <t>queja</t>
  </si>
  <si>
    <t>Plazo para elevar</t>
  </si>
  <si>
    <t>03 días hábiles</t>
  </si>
  <si>
    <t>15 días hábiles</t>
  </si>
  <si>
    <t>05 días hábiles</t>
  </si>
  <si>
    <t>Plazo para resolver</t>
  </si>
  <si>
    <t>Plazo para notificar</t>
  </si>
  <si>
    <t xml:space="preserve">1. Hasta en tres (3) días hábiles, contados desde el día siguiente de su presentación ante la empresa operadora, en reclamos por:
a. Calidad e idoneidad en la prestación del servicio, incluyendo la veracidad de la información brindada al usuario.
b. Suspensión, corte o baja injustificada del servicio, incluyendo el corte del servicio público móvil y/o bloqueo del equipo terminal móvil, por uso prohibido del servicio en establecimientos penitenciarios.
c. Falta de entrega del recibo o de la copia del recibo o de la facturación detallada solicitada por el usuario.
(...)
</t>
  </si>
  <si>
    <t>(...)
2. Hasta en quince (15) días hábiles, contados desde el día siguiente de su presentación ante la empresa operadora, en reclamos por:
a. Facturación cuyo monto reclamado sea de hasta 0.5 % de la Unidad Impositiva Tributaria.
b. Tarjetas de pago.
c. Instalación o activación del servicio.
d. Traslado del servicio.
(...)</t>
  </si>
  <si>
    <t>(…)
3. Hasta veinte (20) días hábiles, contados desde el día siguiente de su presentación ante la empresa operadora, en los demás casos.
Para las materias de reclamo que hayan sido previstas en otras normas, se aplicará el plazo que haya sido señalado en las mismas, en caso contrario, se regirán por el plazo mayor que establece el presente Reglamento.</t>
  </si>
  <si>
    <t>Fecha de</t>
  </si>
  <si>
    <t>20 días hábiles</t>
  </si>
  <si>
    <t>Instrucciones</t>
  </si>
  <si>
    <t xml:space="preserve">Artículo 54.- Plazos de resolución de los reclamos
Los reclamos presentados por los usuarios ante la empresa operadora serán resueltos en los siguientes plazos máximos:
</t>
  </si>
  <si>
    <t>apelación</t>
  </si>
  <si>
    <t>Fecha de inicio del expediente</t>
  </si>
  <si>
    <t>APELACIÓN</t>
  </si>
  <si>
    <t>25 días hábiles</t>
  </si>
  <si>
    <t>(…)
3. Hasta veinticinco (25) días hábiles, contados a partir del día siguiente de recibido el recurso por el TRASU, en los demás casos.</t>
  </si>
  <si>
    <t>Cuando la complejidad en la tramitación de un expediente lo amerite, el TRASU podrá, por una sola vez, ampliar en veinte (20) días hábiles adicionales el plazo para resolver.
Para las materias de reclamo que hayan sido previstas en otras normas, se aplicará el plazo que haya sido señalado en las mismas, en caso contrario, se regirán por el plazo mayor que establece el presente Reglamento.</t>
  </si>
  <si>
    <t>1. Hasta en quince (15) días hábiles, contados desde el día siguiente de recibido el recurso por el TRASU, en los reclamos por:
a. Suspensión, corte o baja injustificada del servicio, incluyendo el corte del servicio público móvil y/o bloqueo del equipo terminal móvil, por uso prohibido del servicio en estabelcimientos penitenciarios.
b. Tarjetas de pago.
c. Traslado del servicio.
d. Falta de entrefa del recibo o de la copia del recibo o de la facturación detallada solicitada por el usuario.
(...)</t>
  </si>
  <si>
    <t>SI</t>
  </si>
  <si>
    <t>NO</t>
  </si>
  <si>
    <t>Ampliación del Reglamento</t>
  </si>
  <si>
    <t>Artículo 61.- Remisión del recurso de apelación al TRASU
Presentado el recurso de apelación, la empresa operadora cuenta con un plazo máximo de cinco (5) días hábiles contados desde el día siguiente de su presentación, para elevarlo al TRASU conjuntamente con sus descargos y el expediente correspondiente, organizado formalmente conforme a lo dispuesto en el artículo 77.
Para tal efecto, la empresa operadora deberá adjuntar un informe que describa en términos precisos y conforme a los formatos aprobados por el TRASU, lo siguiente:
1. Motivo del reclamo.
2. Información sobre los reclamos y las pruebas actuadas según la materia del reclamo; y,
3. Pronunciamiento respecto a cada uno de los hechos expuestos en el recurso de apelación del usuario. El silencio, la respuesta evasiva o la negativa genérica y contradictoria podrán ser apreciados por el TRASU como reconocimiento de verdad de los hechos alegados por el usuario.</t>
  </si>
  <si>
    <t>Artículo 74.- Remisión de la queja al TRASU
El TRASU será el encargado de resolver las quejas que presenten los usuarios contra la primera instancia administrativa de las empresas operadoras.
Presentada dicha solicitud en la empresa operadora, ésta deberá elevarla al TRASU en un plazo no mayor de tres (3) días hábiles contados a partir del día siguiente de su presentación, conjuntamente con sus descargos y el expediente correspondiente, organizado formalmente conforme a lo dispuesto en el artículo 77.</t>
  </si>
  <si>
    <t>Artículo 66.- Plazos de resolución 
El recurso de apelación presentado por el usuario será resuelto por el TRASU en los siguientes plazos máximos:</t>
  </si>
  <si>
    <t>Fecha de notificación</t>
  </si>
  <si>
    <t>Plazo para apelar</t>
  </si>
  <si>
    <t>Artículo 58º.- Recurso de apelación y plazo para su interposición
(…) 
El plazo para interponer el recurso de apelación no deberá exceder de quince (15) días hábiles contados desde el día siguiente de la notificación al usuario de la resolución de primera instancia.(...)</t>
  </si>
  <si>
    <t>Lima</t>
  </si>
  <si>
    <t>provincias</t>
  </si>
  <si>
    <t>Plazo aplicable para</t>
  </si>
  <si>
    <t>1. Ingresar la fecha presentación de reclamo</t>
  </si>
  <si>
    <t>1. Ingresar la fecha de recepción del recurso por el TRASU.</t>
  </si>
  <si>
    <t>1. Ingresar la fecha de recepción de la queja por el TRASU.</t>
  </si>
  <si>
    <t>Artículo 75.- Plazos de resolución de la queja
La queja será resuelta dentro del plazo de trece (13) días hábiles contados desde el día siguiente a la fecha de su recepción por el TRASU.
Excepcionalmente, cuando la complejidad del expediente lo amerite, e TRASU podrá, por única vez, ampliar el plazo para resolver dicha solicitud hasta en diez (10) días hábiles adicionales.</t>
  </si>
  <si>
    <t>hábil</t>
  </si>
  <si>
    <t>inhábil</t>
  </si>
  <si>
    <t xml:space="preserve">Notificación fue realizada en día </t>
  </si>
  <si>
    <t>1. Ingresar la fecha de notificación.</t>
  </si>
  <si>
    <t>COMPETENCIA SALAS COLEGIADAS*</t>
  </si>
  <si>
    <r>
      <t xml:space="preserve">*No obstante lo indicado en el presente cuadro, es preciso tener en cuenta en </t>
    </r>
    <r>
      <rPr>
        <b/>
        <sz val="10"/>
        <color theme="1"/>
        <rFont val="Arial Narrow"/>
        <family val="2"/>
      </rPr>
      <t>Informe N°00183-GAL/2016</t>
    </r>
    <r>
      <rPr>
        <sz val="10"/>
        <color theme="1"/>
        <rFont val="Arial Narrow"/>
        <family val="2"/>
      </rPr>
      <t xml:space="preserve">, de fecha 23 de junio de 2016, sobre las competencias de las Salas del TRASU, cuyas conclusiones son las siguientes:
</t>
    </r>
    <r>
      <rPr>
        <b/>
        <i/>
        <sz val="10"/>
        <color theme="1"/>
        <rFont val="Arial Narrow"/>
        <family val="2"/>
      </rPr>
      <t xml:space="preserve">1. </t>
    </r>
    <r>
      <rPr>
        <i/>
        <sz val="10"/>
        <color theme="1"/>
        <rFont val="Arial Narrow"/>
        <family val="2"/>
      </rPr>
      <t xml:space="preserve">La competencia atribuida a las Salas Unipersonales para conocer los expedientes de queja, menor cuantía, casos con plazo de resolución menor o en general, aquellos casos que actualmente vienen tramitando, no ha sido otorgada en forma exclusiva a dichas Salas.
En tal sentido, es factible que las Salas Colegiadas conozcan dichos expedientes, en tanto, mantienen la competencia establecida en los artículos 2° y 3° del Reglamento del TRASU.
</t>
    </r>
    <r>
      <rPr>
        <b/>
        <i/>
        <sz val="10"/>
        <color theme="1"/>
        <rFont val="Arial Narrow"/>
        <family val="2"/>
      </rPr>
      <t xml:space="preserve">2. </t>
    </r>
    <r>
      <rPr>
        <i/>
        <sz val="10"/>
        <color theme="1"/>
        <rFont val="Arial Narrow"/>
        <family val="2"/>
      </rPr>
      <t>Es factible que los procedimientos administrativos sancionadores a ser conocidos por el TRASU, sean resueltos por las Salas Colegiadas, considerando que constituye una función del TRASU, y por ende de las salas que lo conforman, ejercer la facultad sancionadora establecida en el RFIS, conforme lo señalado en el numeral 3 del artículo 3° del Reglamento del TRASU.</t>
    </r>
  </si>
  <si>
    <t>Feriado para el sector público</t>
  </si>
  <si>
    <t>Con feriados para sector público</t>
  </si>
  <si>
    <t>Días no laborables se aplican para:</t>
  </si>
  <si>
    <t>1. Resolución y notificación de reclamos en segunda instancia.</t>
  </si>
  <si>
    <t>2. Elevación de apelaciones y quejas.</t>
  </si>
  <si>
    <r>
      <t>Ampliación del Consejo Directivo (2017)</t>
    </r>
    <r>
      <rPr>
        <b/>
        <sz val="11"/>
        <color theme="1"/>
        <rFont val="Arial Narrow"/>
        <family val="2"/>
      </rPr>
      <t>*</t>
    </r>
  </si>
  <si>
    <r>
      <t>*</t>
    </r>
    <r>
      <rPr>
        <b/>
        <sz val="11"/>
        <color theme="1"/>
        <rFont val="Arial Narrow"/>
        <family val="2"/>
      </rPr>
      <t>Ampliación del plazo de resolución en 120 días hábiles</t>
    </r>
    <r>
      <rPr>
        <sz val="11"/>
        <color theme="1"/>
        <rFont val="Arial Narrow"/>
        <family val="2"/>
      </rPr>
      <t xml:space="preserve"> para recursos de apelación y quejas </t>
    </r>
    <r>
      <rPr>
        <u/>
        <sz val="11"/>
        <color theme="1"/>
        <rFont val="Arial Narrow"/>
        <family val="2"/>
      </rPr>
      <t xml:space="preserve">cuyo vencimiento se encuentre entre el </t>
    </r>
    <r>
      <rPr>
        <b/>
        <u/>
        <sz val="11"/>
        <color theme="1"/>
        <rFont val="Arial Narrow"/>
        <family val="2"/>
      </rPr>
      <t>20 de abril al 29 de diciembre de 2017</t>
    </r>
    <r>
      <rPr>
        <b/>
        <sz val="11"/>
        <color theme="1"/>
        <rFont val="Arial Narrow"/>
        <family val="2"/>
      </rPr>
      <t xml:space="preserve"> </t>
    </r>
    <r>
      <rPr>
        <sz val="11"/>
        <color theme="1"/>
        <rFont val="Arial Narrow"/>
        <family val="2"/>
      </rPr>
      <t>(Resolución N°055-2017-CD/OSIPTEL).</t>
    </r>
  </si>
  <si>
    <t>Puerto Maldonado</t>
  </si>
  <si>
    <t>Trujillo</t>
  </si>
  <si>
    <t>Resolución Puerto Maldonado</t>
  </si>
  <si>
    <t>Plazo aplicable para Salas de</t>
  </si>
  <si>
    <t>Fecha inicial</t>
  </si>
  <si>
    <t>N° de días</t>
  </si>
  <si>
    <t>Fecha final</t>
  </si>
  <si>
    <t>Calendario</t>
  </si>
  <si>
    <t>Hábiles</t>
  </si>
  <si>
    <r>
      <t xml:space="preserve">CÁLCULO DE </t>
    </r>
    <r>
      <rPr>
        <b/>
        <sz val="14"/>
        <color theme="1"/>
        <rFont val="Arial Narrow"/>
        <family val="2"/>
      </rPr>
      <t>DÍAS HÁBILES / CALENDARIO</t>
    </r>
  </si>
  <si>
    <t>Tipo de días a calcular</t>
  </si>
  <si>
    <t>1. Ingresar la fecha de inicio para cálculo del plazo.</t>
  </si>
  <si>
    <t>2. Seleccionar si el tipo de días a calcular.</t>
  </si>
  <si>
    <t>2. Seleccionar si el día en que se realizó la notificación fue hábil o inhábil.</t>
  </si>
  <si>
    <t>1. Seleccionar si el escrito corresponde a una apelación o a una queja.</t>
  </si>
  <si>
    <t>2. Seleccionar el plazo de resolución del reclamo de acuerdo al Reglamento.</t>
  </si>
  <si>
    <t>2. Ingresar la fecha de la presentación de la apelación o queja.</t>
  </si>
  <si>
    <t>2. Seleccionar el plazo de resolución del recurso de acuerdo al Reglamento.</t>
  </si>
  <si>
    <t>2. Seleccionar si hay ampliación del plazo para resolución del Reglamento.</t>
  </si>
  <si>
    <t>3. Seleccionar si hay ampliación del plazo para resolución del Reglamento.</t>
  </si>
  <si>
    <t>e</t>
  </si>
  <si>
    <t>Días hábiles para</t>
  </si>
  <si>
    <t>3. Ingresar el número de días a calcular</t>
  </si>
  <si>
    <r>
      <t xml:space="preserve">PLAZOS DE </t>
    </r>
    <r>
      <rPr>
        <b/>
        <sz val="14"/>
        <color theme="0"/>
        <rFont val="Arial Narrow"/>
        <family val="2"/>
      </rPr>
      <t>RESOLUCIÓN</t>
    </r>
    <r>
      <rPr>
        <sz val="14"/>
        <color theme="0"/>
        <rFont val="Arial Narrow"/>
        <family val="2"/>
      </rPr>
      <t xml:space="preserve"> Y </t>
    </r>
    <r>
      <rPr>
        <b/>
        <sz val="14"/>
        <color theme="0"/>
        <rFont val="Arial Narrow"/>
        <family val="2"/>
      </rPr>
      <t>NOTIFICACIÓN</t>
    </r>
  </si>
  <si>
    <r>
      <t xml:space="preserve">PLAZO PARA PRESENTAR </t>
    </r>
    <r>
      <rPr>
        <b/>
        <sz val="14"/>
        <color theme="0"/>
        <rFont val="Arial Narrow"/>
        <family val="2"/>
      </rPr>
      <t>RECURSO DE APELACIÓN</t>
    </r>
  </si>
  <si>
    <r>
      <rPr>
        <sz val="14"/>
        <color theme="0"/>
        <rFont val="Arial Narrow"/>
        <family val="2"/>
      </rPr>
      <t xml:space="preserve">PLAZOS DE </t>
    </r>
    <r>
      <rPr>
        <b/>
        <sz val="14"/>
        <color theme="0"/>
        <rFont val="Arial Narrow"/>
        <family val="2"/>
      </rPr>
      <t>RESOLUCIÓN</t>
    </r>
    <r>
      <rPr>
        <sz val="14"/>
        <color theme="0"/>
        <rFont val="Arial Narrow"/>
        <family val="2"/>
      </rPr>
      <t xml:space="preserve"> PARA EL TRASU PARA</t>
    </r>
    <r>
      <rPr>
        <b/>
        <sz val="14"/>
        <color theme="0"/>
        <rFont val="Arial Narrow"/>
        <family val="2"/>
      </rPr>
      <t xml:space="preserve">
RECURSOS DE APELACIÓN</t>
    </r>
  </si>
  <si>
    <r>
      <rPr>
        <sz val="14"/>
        <color theme="0"/>
        <rFont val="Arial Narrow"/>
        <family val="2"/>
      </rPr>
      <t xml:space="preserve">PLAZOS DE </t>
    </r>
    <r>
      <rPr>
        <b/>
        <sz val="14"/>
        <color theme="0"/>
        <rFont val="Arial Narrow"/>
        <family val="2"/>
      </rPr>
      <t>RESOLUCIÓN</t>
    </r>
    <r>
      <rPr>
        <sz val="14"/>
        <color theme="0"/>
        <rFont val="Arial Narrow"/>
        <family val="2"/>
      </rPr>
      <t xml:space="preserve"> PARA EL TRASU PARA</t>
    </r>
    <r>
      <rPr>
        <b/>
        <sz val="14"/>
        <color theme="0"/>
        <rFont val="Arial Narrow"/>
        <family val="2"/>
      </rPr>
      <t xml:space="preserve">
QUEJAS</t>
    </r>
  </si>
  <si>
    <t>No laborables solo Lima</t>
  </si>
  <si>
    <t>No laborables todo el país</t>
  </si>
  <si>
    <t>1. Resolución y notificación de reclamos en primera instancia (No laborables solo Lima).</t>
  </si>
  <si>
    <t>2. Presentación de recurso de apelación (No laborables todo el país).</t>
  </si>
  <si>
    <r>
      <t xml:space="preserve">PLAZOS DE </t>
    </r>
    <r>
      <rPr>
        <b/>
        <sz val="14"/>
        <color theme="0"/>
        <rFont val="Arial Narrow"/>
        <family val="2"/>
      </rPr>
      <t>ELEVACIÓN</t>
    </r>
    <r>
      <rPr>
        <sz val="14"/>
        <color theme="0"/>
        <rFont val="Arial Narrow"/>
        <family val="2"/>
      </rPr>
      <t xml:space="preserve"> DE </t>
    </r>
    <r>
      <rPr>
        <b/>
        <sz val="14"/>
        <color theme="0"/>
        <rFont val="Arial Narrow"/>
        <family val="2"/>
      </rPr>
      <t>APELACIÓN O QUEJA</t>
    </r>
  </si>
  <si>
    <t xml:space="preserve">suspensión de plazos - Estado de emergencia </t>
  </si>
  <si>
    <t>Actualizado el</t>
  </si>
  <si>
    <t xml:space="preserve">Actualizado el </t>
  </si>
  <si>
    <t>dejalo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</si>
</sst>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39" x14ac:knownFonts="1">
    <font>
      <sz val="11"/>
      <color theme="1"/>
      <name val="Calibri"/>
      <family val="2"/>
      <scheme val="minor"/>
    </font>
    <font>
      <sz val="11"/>
      <color theme="0"/>
      <name val="Calibri"/>
      <family val="2"/>
      <scheme val="minor"/>
    </font>
    <font>
      <sz val="11"/>
      <color theme="1"/>
      <name val="Arial Narrow"/>
      <family val="2"/>
    </font>
    <font>
      <sz val="10"/>
      <color rgb="FF000000"/>
      <name val="Arial Narrow"/>
      <family val="2"/>
    </font>
    <font>
      <b/>
      <sz val="11"/>
      <color theme="1"/>
      <name val="Arial Narrow"/>
      <family val="2"/>
    </font>
    <font>
      <sz val="10"/>
      <color theme="1"/>
      <name val="Arial Narrow"/>
      <family val="2"/>
    </font>
    <font>
      <b/>
      <sz val="10"/>
      <color theme="1"/>
      <name val="Arial Narrow"/>
      <family val="2"/>
    </font>
    <font>
      <b/>
      <sz val="10"/>
      <color rgb="FF000000"/>
      <name val="Arial Narrow"/>
      <family val="2"/>
    </font>
    <font>
      <sz val="14"/>
      <color theme="1"/>
      <name val="Arial Narrow"/>
      <family val="2"/>
    </font>
    <font>
      <b/>
      <sz val="14"/>
      <color theme="1"/>
      <name val="Arial Narrow"/>
      <family val="2"/>
    </font>
    <font>
      <sz val="16"/>
      <color theme="1"/>
      <name val="Arial Narrow"/>
      <family val="2"/>
    </font>
    <font>
      <b/>
      <sz val="16"/>
      <color theme="0"/>
      <name val="Arial Narrow"/>
      <family val="2"/>
    </font>
    <font>
      <b/>
      <sz val="16"/>
      <color theme="1"/>
      <name val="Arial Narrow"/>
      <family val="2"/>
    </font>
    <font>
      <b/>
      <sz val="14"/>
      <name val="Arial Narrow"/>
      <family val="2"/>
    </font>
    <font>
      <b/>
      <u/>
      <sz val="10"/>
      <color theme="1"/>
      <name val="Arial Narrow"/>
      <family val="2"/>
    </font>
    <font>
      <b/>
      <sz val="16"/>
      <name val="Arial Narrow"/>
      <family val="2"/>
    </font>
    <font>
      <sz val="14"/>
      <name val="Arial Narrow"/>
      <family val="2"/>
    </font>
    <font>
      <sz val="11"/>
      <name val="Arial Narrow"/>
      <family val="2"/>
    </font>
    <font>
      <sz val="16"/>
      <name val="Arial Narrow"/>
      <family val="2"/>
    </font>
    <font>
      <sz val="11"/>
      <name val="Arial"/>
      <family val="2"/>
    </font>
    <font>
      <i/>
      <sz val="9"/>
      <name val="Arial"/>
      <family val="2"/>
    </font>
    <font>
      <i/>
      <sz val="9"/>
      <color theme="1"/>
      <name val="Arial"/>
      <family val="2"/>
    </font>
    <font>
      <sz val="9"/>
      <color theme="1"/>
      <name val="Arial"/>
      <family val="2"/>
    </font>
    <font>
      <b/>
      <sz val="13"/>
      <name val="Arial Narrow"/>
      <family val="2"/>
    </font>
    <font>
      <b/>
      <sz val="14"/>
      <color theme="0"/>
      <name val="Arial Narrow"/>
      <family val="2"/>
    </font>
    <font>
      <i/>
      <sz val="10"/>
      <color theme="1"/>
      <name val="Arial Narrow"/>
      <family val="2"/>
    </font>
    <font>
      <b/>
      <i/>
      <sz val="10"/>
      <color theme="1"/>
      <name val="Arial Narrow"/>
      <family val="2"/>
    </font>
    <font>
      <b/>
      <sz val="10"/>
      <name val="Arial Narrow"/>
      <family val="2"/>
    </font>
    <font>
      <b/>
      <u/>
      <sz val="12"/>
      <color theme="1"/>
      <name val="Arial Narrow"/>
      <family val="2"/>
    </font>
    <font>
      <b/>
      <sz val="12"/>
      <color theme="1"/>
      <name val="Arial Narrow"/>
      <family val="2"/>
    </font>
    <font>
      <sz val="13"/>
      <color theme="1"/>
      <name val="Arial Narrow"/>
      <family val="2"/>
    </font>
    <font>
      <b/>
      <sz val="13"/>
      <color theme="1"/>
      <name val="Arial Narrow"/>
      <family val="2"/>
    </font>
    <font>
      <u/>
      <sz val="11"/>
      <color theme="1"/>
      <name val="Arial Narrow"/>
      <family val="2"/>
    </font>
    <font>
      <b/>
      <u/>
      <sz val="11"/>
      <color theme="1"/>
      <name val="Arial Narrow"/>
      <family val="2"/>
    </font>
    <font>
      <b/>
      <sz val="18"/>
      <name val="Arial Narrow"/>
      <family val="2"/>
    </font>
    <font>
      <sz val="11"/>
      <color theme="0"/>
      <name val="Arial Narrow"/>
      <family val="2"/>
    </font>
    <font>
      <sz val="10"/>
      <color rgb="FF0070C0"/>
      <name val="Arial Narrow"/>
      <family val="2"/>
    </font>
    <font>
      <sz val="14"/>
      <color theme="0"/>
      <name val="Arial Narrow"/>
      <family val="2"/>
    </font>
    <font>
      <b/>
      <i/>
      <sz val="11"/>
      <name val="Arial Narrow"/>
      <family val="2"/>
    </font>
  </fonts>
  <fills count="30">
    <fill>
      <patternFill patternType="none"/>
    </fill>
    <fill>
      <patternFill patternType="gray125"/>
    </fill>
    <fill>
      <patternFill patternType="solid">
        <fgColor theme="4"/>
      </patternFill>
    </fill>
    <fill>
      <patternFill patternType="solid">
        <fgColor theme="8"/>
      </patternFill>
    </fill>
    <fill>
      <patternFill patternType="solid">
        <fgColor theme="9"/>
      </patternFill>
    </fill>
    <fill>
      <patternFill patternType="solid">
        <fgColor rgb="FF00B0F0"/>
        <bgColor indexed="64"/>
      </patternFill>
    </fill>
    <fill>
      <patternFill patternType="solid">
        <fgColor rgb="FF0070C0"/>
        <bgColor indexed="64"/>
      </patternFill>
    </fill>
    <fill>
      <patternFill patternType="solid">
        <fgColor theme="9" tint="0.79998168889431442"/>
        <bgColor indexed="64"/>
      </patternFill>
    </fill>
    <fill>
      <patternFill patternType="solid">
        <fgColor theme="9"/>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rgb="FFA3E7FF"/>
        <bgColor indexed="64"/>
      </patternFill>
    </fill>
    <fill>
      <patternFill patternType="solid">
        <fgColor rgb="FF79DCFF"/>
        <bgColor indexed="64"/>
      </patternFill>
    </fill>
    <fill>
      <patternFill patternType="solid">
        <fgColor rgb="FF66CCFF"/>
        <bgColor indexed="64"/>
      </patternFill>
    </fill>
    <fill>
      <patternFill patternType="solid">
        <fgColor rgb="FFB7ECFF"/>
        <bgColor indexed="64"/>
      </patternFill>
    </fill>
    <fill>
      <patternFill patternType="solid">
        <fgColor theme="9"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FFCC"/>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39997558519241921"/>
        <bgColor indexed="64"/>
      </patternFill>
    </fill>
    <fill>
      <patternFill patternType="solid">
        <fgColor theme="8"/>
        <bgColor indexed="64"/>
      </patternFill>
    </fill>
    <fill>
      <patternFill patternType="solid">
        <fgColor theme="1"/>
        <bgColor indexed="64"/>
      </patternFill>
    </fill>
    <fill>
      <patternFill patternType="solid">
        <fgColor theme="6" tint="0.39997558519241921"/>
        <bgColor indexed="65"/>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s>
  <cellStyleXfs count="5">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29" borderId="0" applyNumberFormat="0" applyBorder="0" applyAlignment="0" applyProtection="0"/>
  </cellStyleXfs>
  <cellXfs count="324">
    <xf numFmtId="0" fontId="0" fillId="0" borderId="0" xfId="0"/>
    <xf numFmtId="14" fontId="0" fillId="0" borderId="0" xfId="0" applyNumberFormat="1"/>
    <xf numFmtId="0" fontId="9" fillId="8" borderId="0" xfId="0" applyFont="1" applyFill="1" applyBorder="1" applyAlignment="1" applyProtection="1">
      <alignment horizontal="right"/>
    </xf>
    <xf numFmtId="0" fontId="5" fillId="0" borderId="0" xfId="0" applyFont="1" applyFill="1" applyAlignment="1" applyProtection="1">
      <alignment vertical="center" wrapText="1"/>
    </xf>
    <xf numFmtId="0" fontId="5" fillId="0" borderId="0" xfId="0" applyFont="1" applyFill="1" applyBorder="1" applyAlignment="1" applyProtection="1">
      <alignment vertical="center" wrapText="1"/>
    </xf>
    <xf numFmtId="0" fontId="5" fillId="0" borderId="8" xfId="0" applyFont="1" applyFill="1" applyBorder="1" applyAlignment="1" applyProtection="1">
      <alignment vertical="center" wrapText="1"/>
    </xf>
    <xf numFmtId="0" fontId="3" fillId="0" borderId="0" xfId="0" applyFont="1" applyFill="1" applyBorder="1" applyAlignment="1" applyProtection="1">
      <alignment vertical="center" wrapText="1"/>
    </xf>
    <xf numFmtId="0" fontId="3" fillId="0" borderId="6" xfId="0" applyFont="1" applyFill="1" applyBorder="1" applyAlignment="1" applyProtection="1">
      <alignment vertical="center" wrapText="1"/>
    </xf>
    <xf numFmtId="0" fontId="2" fillId="0" borderId="0" xfId="0" applyFont="1" applyProtection="1"/>
    <xf numFmtId="0" fontId="2" fillId="0" borderId="0" xfId="0" applyFont="1" applyAlignment="1" applyProtection="1">
      <alignment horizontal="left"/>
    </xf>
    <xf numFmtId="0" fontId="8" fillId="0" borderId="0" xfId="0" applyFont="1" applyProtection="1"/>
    <xf numFmtId="0" fontId="2" fillId="7" borderId="2" xfId="0" applyFont="1" applyFill="1" applyBorder="1" applyProtection="1"/>
    <xf numFmtId="0" fontId="2" fillId="7" borderId="3" xfId="0" applyFont="1" applyFill="1" applyBorder="1" applyProtection="1"/>
    <xf numFmtId="0" fontId="2" fillId="7" borderId="3" xfId="0" applyFont="1" applyFill="1" applyBorder="1" applyAlignment="1" applyProtection="1">
      <alignment horizontal="left"/>
    </xf>
    <xf numFmtId="0" fontId="8" fillId="7" borderId="3" xfId="0" applyFont="1" applyFill="1" applyBorder="1" applyProtection="1"/>
    <xf numFmtId="0" fontId="8" fillId="7" borderId="4" xfId="0" applyFont="1" applyFill="1" applyBorder="1" applyProtection="1"/>
    <xf numFmtId="0" fontId="2" fillId="7" borderId="5" xfId="0" applyFont="1" applyFill="1" applyBorder="1" applyProtection="1"/>
    <xf numFmtId="0" fontId="2" fillId="7" borderId="0" xfId="0" applyFont="1" applyFill="1" applyBorder="1" applyAlignment="1" applyProtection="1">
      <alignment horizontal="left"/>
    </xf>
    <xf numFmtId="0" fontId="2" fillId="7" borderId="0" xfId="0" applyFont="1" applyFill="1" applyBorder="1" applyProtection="1"/>
    <xf numFmtId="0" fontId="8" fillId="7" borderId="0" xfId="0" applyFont="1" applyFill="1" applyBorder="1" applyProtection="1"/>
    <xf numFmtId="0" fontId="8" fillId="7" borderId="6" xfId="0" applyFont="1" applyFill="1" applyBorder="1" applyProtection="1"/>
    <xf numFmtId="0" fontId="10" fillId="7" borderId="5" xfId="0" applyFont="1" applyFill="1" applyBorder="1" applyProtection="1"/>
    <xf numFmtId="0" fontId="12" fillId="7" borderId="0" xfId="0" applyFont="1" applyFill="1" applyBorder="1" applyAlignment="1" applyProtection="1">
      <alignment horizontal="center"/>
    </xf>
    <xf numFmtId="14" fontId="12" fillId="7" borderId="0" xfId="0" applyNumberFormat="1" applyFont="1" applyFill="1" applyBorder="1" applyAlignment="1" applyProtection="1">
      <alignment horizontal="center"/>
    </xf>
    <xf numFmtId="0" fontId="10" fillId="0" borderId="0" xfId="0" applyFont="1" applyProtection="1"/>
    <xf numFmtId="0" fontId="2" fillId="7" borderId="0" xfId="0" applyFont="1" applyFill="1" applyBorder="1" applyAlignment="1" applyProtection="1">
      <alignment horizontal="right"/>
    </xf>
    <xf numFmtId="0" fontId="8" fillId="7" borderId="5" xfId="0" applyFont="1" applyFill="1" applyBorder="1" applyProtection="1"/>
    <xf numFmtId="0" fontId="8" fillId="7" borderId="0" xfId="0" applyFont="1" applyFill="1" applyBorder="1" applyAlignment="1" applyProtection="1">
      <alignment horizontal="right"/>
    </xf>
    <xf numFmtId="14" fontId="12" fillId="0" borderId="1" xfId="0" applyNumberFormat="1" applyFont="1" applyFill="1" applyBorder="1" applyProtection="1"/>
    <xf numFmtId="14" fontId="9" fillId="7" borderId="0" xfId="0" applyNumberFormat="1" applyFont="1" applyFill="1" applyBorder="1" applyProtection="1"/>
    <xf numFmtId="14" fontId="9" fillId="7" borderId="6" xfId="0" applyNumberFormat="1" applyFont="1" applyFill="1" applyBorder="1" applyProtection="1"/>
    <xf numFmtId="14" fontId="9" fillId="0" borderId="0" xfId="0" applyNumberFormat="1" applyFont="1" applyBorder="1" applyProtection="1"/>
    <xf numFmtId="0" fontId="8" fillId="0" borderId="0" xfId="0" applyFont="1" applyAlignment="1" applyProtection="1">
      <alignment wrapText="1"/>
    </xf>
    <xf numFmtId="0" fontId="4" fillId="7" borderId="0" xfId="0" applyFont="1" applyFill="1" applyBorder="1" applyAlignment="1" applyProtection="1">
      <alignment horizontal="right"/>
    </xf>
    <xf numFmtId="14" fontId="8" fillId="7" borderId="0" xfId="0" applyNumberFormat="1" applyFont="1" applyFill="1" applyBorder="1" applyProtection="1"/>
    <xf numFmtId="14" fontId="8" fillId="7" borderId="6" xfId="0" applyNumberFormat="1" applyFont="1" applyFill="1" applyBorder="1" applyProtection="1"/>
    <xf numFmtId="14" fontId="8" fillId="0" borderId="0" xfId="0" applyNumberFormat="1" applyFont="1" applyProtection="1"/>
    <xf numFmtId="0" fontId="2" fillId="0" borderId="7" xfId="0" applyFont="1" applyBorder="1" applyProtection="1"/>
    <xf numFmtId="0" fontId="2" fillId="0" borderId="8" xfId="0" applyFont="1" applyBorder="1" applyProtection="1"/>
    <xf numFmtId="0" fontId="2" fillId="0" borderId="8" xfId="0" applyFont="1" applyBorder="1" applyAlignment="1" applyProtection="1">
      <alignment horizontal="left"/>
    </xf>
    <xf numFmtId="0" fontId="8" fillId="0" borderId="8" xfId="0" applyFont="1" applyBorder="1" applyProtection="1"/>
    <xf numFmtId="0" fontId="8" fillId="0" borderId="9" xfId="0" applyFont="1" applyBorder="1" applyProtection="1"/>
    <xf numFmtId="0" fontId="8" fillId="0" borderId="7" xfId="0" applyFont="1" applyBorder="1" applyProtection="1"/>
    <xf numFmtId="0" fontId="2" fillId="0" borderId="9" xfId="0" applyFont="1" applyBorder="1" applyProtection="1"/>
    <xf numFmtId="0" fontId="8" fillId="0" borderId="0" xfId="0" applyFont="1" applyFill="1" applyProtection="1"/>
    <xf numFmtId="14" fontId="8" fillId="14" borderId="5" xfId="0" applyNumberFormat="1" applyFont="1" applyFill="1" applyBorder="1" applyProtection="1"/>
    <xf numFmtId="14" fontId="8" fillId="14" borderId="0" xfId="0" applyNumberFormat="1" applyFont="1" applyFill="1" applyBorder="1" applyProtection="1"/>
    <xf numFmtId="0" fontId="2" fillId="14" borderId="0" xfId="0" applyFont="1" applyFill="1" applyBorder="1" applyProtection="1"/>
    <xf numFmtId="0" fontId="2" fillId="14" borderId="6" xfId="0" applyFont="1" applyFill="1" applyBorder="1" applyProtection="1"/>
    <xf numFmtId="14" fontId="9" fillId="14" borderId="5" xfId="0" applyNumberFormat="1" applyFont="1" applyFill="1" applyBorder="1" applyProtection="1"/>
    <xf numFmtId="14" fontId="9" fillId="14" borderId="0" xfId="0" applyNumberFormat="1" applyFont="1" applyFill="1" applyBorder="1" applyProtection="1"/>
    <xf numFmtId="0" fontId="8" fillId="14" borderId="5" xfId="0" applyFont="1" applyFill="1" applyBorder="1" applyProtection="1"/>
    <xf numFmtId="0" fontId="8" fillId="14" borderId="0" xfId="0" applyFont="1" applyFill="1" applyBorder="1" applyProtection="1"/>
    <xf numFmtId="0" fontId="10" fillId="14" borderId="0" xfId="0" applyFont="1" applyFill="1" applyBorder="1" applyAlignment="1" applyProtection="1">
      <alignment horizontal="right"/>
    </xf>
    <xf numFmtId="0" fontId="2" fillId="14" borderId="0" xfId="0" applyFont="1" applyFill="1" applyBorder="1" applyAlignment="1" applyProtection="1">
      <alignment horizontal="left"/>
    </xf>
    <xf numFmtId="0" fontId="2" fillId="14" borderId="0" xfId="0" applyFont="1" applyFill="1" applyBorder="1" applyAlignment="1" applyProtection="1">
      <alignment horizontal="right"/>
    </xf>
    <xf numFmtId="0" fontId="8" fillId="14" borderId="0" xfId="0" applyFont="1" applyFill="1" applyBorder="1" applyAlignment="1" applyProtection="1">
      <alignment horizontal="right"/>
    </xf>
    <xf numFmtId="14" fontId="9" fillId="14" borderId="6" xfId="0" applyNumberFormat="1" applyFont="1" applyFill="1" applyBorder="1" applyProtection="1"/>
    <xf numFmtId="0" fontId="8" fillId="14" borderId="3" xfId="0" applyFont="1" applyFill="1" applyBorder="1" applyProtection="1"/>
    <xf numFmtId="0" fontId="2" fillId="14" borderId="3" xfId="0" applyFont="1" applyFill="1" applyBorder="1" applyProtection="1"/>
    <xf numFmtId="0" fontId="2" fillId="14" borderId="4" xfId="0" applyFont="1" applyFill="1" applyBorder="1" applyProtection="1"/>
    <xf numFmtId="0" fontId="2" fillId="14" borderId="2" xfId="0" applyFont="1" applyFill="1" applyBorder="1" applyProtection="1"/>
    <xf numFmtId="14" fontId="12" fillId="0" borderId="1" xfId="0" applyNumberFormat="1" applyFont="1" applyFill="1" applyBorder="1" applyAlignment="1" applyProtection="1">
      <alignment horizontal="right"/>
    </xf>
    <xf numFmtId="14" fontId="9" fillId="14" borderId="0" xfId="0" applyNumberFormat="1" applyFont="1" applyFill="1" applyBorder="1" applyAlignment="1" applyProtection="1">
      <alignment horizontal="right"/>
    </xf>
    <xf numFmtId="0" fontId="2" fillId="14" borderId="3" xfId="0" applyFont="1" applyFill="1" applyBorder="1" applyAlignment="1" applyProtection="1">
      <alignment horizontal="left"/>
    </xf>
    <xf numFmtId="0" fontId="8" fillId="14" borderId="4" xfId="0" applyFont="1" applyFill="1" applyBorder="1" applyProtection="1"/>
    <xf numFmtId="0" fontId="2" fillId="14" borderId="5" xfId="0" applyFont="1" applyFill="1" applyBorder="1" applyProtection="1"/>
    <xf numFmtId="0" fontId="8" fillId="14" borderId="6" xfId="0" applyFont="1" applyFill="1" applyBorder="1" applyProtection="1"/>
    <xf numFmtId="0" fontId="10" fillId="14" borderId="5" xfId="0" applyFont="1" applyFill="1" applyBorder="1" applyProtection="1"/>
    <xf numFmtId="0" fontId="12" fillId="14" borderId="0" xfId="0" applyFont="1" applyFill="1" applyBorder="1" applyAlignment="1" applyProtection="1">
      <alignment horizontal="center"/>
    </xf>
    <xf numFmtId="14" fontId="12" fillId="14" borderId="0" xfId="0" applyNumberFormat="1" applyFont="1" applyFill="1" applyBorder="1" applyAlignment="1" applyProtection="1">
      <alignment horizontal="center"/>
    </xf>
    <xf numFmtId="0" fontId="4" fillId="14" borderId="0" xfId="0" applyFont="1" applyFill="1" applyBorder="1" applyAlignment="1" applyProtection="1">
      <alignment horizontal="right"/>
    </xf>
    <xf numFmtId="14" fontId="8" fillId="14" borderId="6" xfId="0" applyNumberFormat="1" applyFont="1" applyFill="1" applyBorder="1" applyProtection="1"/>
    <xf numFmtId="164" fontId="5" fillId="0" borderId="0" xfId="0" applyNumberFormat="1" applyFont="1" applyAlignment="1">
      <alignment horizontal="right"/>
    </xf>
    <xf numFmtId="0" fontId="9" fillId="5" borderId="0" xfId="0" applyFont="1" applyFill="1" applyBorder="1" applyAlignment="1" applyProtection="1">
      <alignment horizontal="right"/>
    </xf>
    <xf numFmtId="0" fontId="8" fillId="0" borderId="0" xfId="0" applyFont="1" applyAlignment="1" applyProtection="1">
      <alignment vertical="center"/>
    </xf>
    <xf numFmtId="0" fontId="2" fillId="0" borderId="0" xfId="0" applyFont="1" applyAlignment="1" applyProtection="1">
      <alignment vertical="center"/>
    </xf>
    <xf numFmtId="0" fontId="11" fillId="6" borderId="0" xfId="1" applyFont="1" applyFill="1" applyBorder="1" applyAlignment="1" applyProtection="1">
      <alignment horizontal="left"/>
      <protection locked="0"/>
    </xf>
    <xf numFmtId="0" fontId="5" fillId="0" borderId="2" xfId="0" applyFont="1" applyBorder="1" applyAlignment="1" applyProtection="1">
      <alignment horizontal="left" vertical="center"/>
    </xf>
    <xf numFmtId="0" fontId="14" fillId="0" borderId="3" xfId="0" applyFont="1" applyBorder="1" applyAlignment="1" applyProtection="1">
      <alignment vertical="center" wrapText="1"/>
    </xf>
    <xf numFmtId="0" fontId="5" fillId="0" borderId="3" xfId="0" applyFont="1" applyBorder="1" applyAlignment="1" applyProtection="1">
      <alignment vertical="center" wrapText="1"/>
    </xf>
    <xf numFmtId="0" fontId="5" fillId="0" borderId="3" xfId="0" applyFont="1" applyBorder="1" applyAlignment="1" applyProtection="1">
      <alignment wrapText="1"/>
    </xf>
    <xf numFmtId="0" fontId="5" fillId="0" borderId="4" xfId="0" applyFont="1" applyBorder="1" applyAlignment="1" applyProtection="1">
      <alignment wrapText="1"/>
    </xf>
    <xf numFmtId="0" fontId="5" fillId="0" borderId="0" xfId="0" applyFont="1" applyAlignment="1" applyProtection="1">
      <alignment wrapText="1"/>
    </xf>
    <xf numFmtId="0" fontId="5" fillId="0" borderId="2" xfId="0" applyFont="1" applyBorder="1" applyAlignment="1" applyProtection="1">
      <alignment wrapText="1"/>
    </xf>
    <xf numFmtId="0" fontId="14" fillId="0" borderId="3" xfId="0" applyFont="1" applyBorder="1" applyAlignment="1" applyProtection="1">
      <alignment horizontal="left" vertical="center"/>
    </xf>
    <xf numFmtId="0" fontId="5" fillId="0" borderId="3" xfId="0" applyFont="1" applyBorder="1" applyAlignment="1" applyProtection="1">
      <alignment horizontal="left" vertical="center"/>
    </xf>
    <xf numFmtId="0" fontId="5" fillId="0" borderId="4" xfId="0" applyFont="1" applyBorder="1" applyAlignment="1" applyProtection="1">
      <alignment horizontal="left" vertical="center"/>
    </xf>
    <xf numFmtId="0" fontId="5" fillId="0" borderId="0" xfId="0" applyFont="1" applyAlignment="1" applyProtection="1">
      <alignment horizontal="left" vertical="center" wrapText="1"/>
    </xf>
    <xf numFmtId="0" fontId="5" fillId="0" borderId="0" xfId="0" applyFont="1" applyAlignment="1" applyProtection="1">
      <alignment horizontal="left" vertical="center"/>
    </xf>
    <xf numFmtId="0" fontId="5" fillId="0" borderId="0" xfId="0" applyFont="1" applyProtection="1"/>
    <xf numFmtId="0" fontId="5" fillId="0" borderId="5" xfId="0" applyFont="1" applyBorder="1" applyProtection="1"/>
    <xf numFmtId="0" fontId="5" fillId="0" borderId="0" xfId="0" applyFont="1" applyBorder="1" applyProtection="1"/>
    <xf numFmtId="0" fontId="5" fillId="0" borderId="0" xfId="0" applyFont="1" applyBorder="1" applyAlignment="1" applyProtection="1">
      <alignment horizontal="left"/>
    </xf>
    <xf numFmtId="0" fontId="5" fillId="0" borderId="0" xfId="0" applyFont="1" applyBorder="1" applyAlignment="1" applyProtection="1">
      <alignment wrapText="1"/>
    </xf>
    <xf numFmtId="0" fontId="5" fillId="0" borderId="6" xfId="0" applyFont="1" applyBorder="1" applyAlignment="1" applyProtection="1">
      <alignment wrapText="1"/>
    </xf>
    <xf numFmtId="0" fontId="5" fillId="0" borderId="5" xfId="0" applyFont="1" applyBorder="1" applyAlignment="1" applyProtection="1">
      <alignment wrapText="1"/>
    </xf>
    <xf numFmtId="0" fontId="5" fillId="0" borderId="6" xfId="0" applyFont="1" applyBorder="1" applyProtection="1"/>
    <xf numFmtId="0" fontId="17" fillId="18" borderId="5" xfId="0" applyFont="1" applyFill="1" applyBorder="1" applyProtection="1"/>
    <xf numFmtId="0" fontId="19" fillId="18" borderId="0" xfId="0" applyFont="1" applyFill="1" applyBorder="1" applyAlignment="1" applyProtection="1">
      <alignment horizontal="left" vertical="top" wrapText="1"/>
    </xf>
    <xf numFmtId="0" fontId="19" fillId="18" borderId="6" xfId="0" applyFont="1" applyFill="1" applyBorder="1" applyAlignment="1" applyProtection="1">
      <alignment horizontal="left" vertical="top" wrapText="1"/>
    </xf>
    <xf numFmtId="0" fontId="18" fillId="18" borderId="5" xfId="0" applyFont="1" applyFill="1" applyBorder="1" applyProtection="1"/>
    <xf numFmtId="0" fontId="2" fillId="18" borderId="2" xfId="0" applyFont="1" applyFill="1" applyBorder="1" applyProtection="1"/>
    <xf numFmtId="0" fontId="2" fillId="18" borderId="3" xfId="0" applyFont="1" applyFill="1" applyBorder="1" applyProtection="1"/>
    <xf numFmtId="0" fontId="2" fillId="18" borderId="3" xfId="0" applyFont="1" applyFill="1" applyBorder="1" applyAlignment="1" applyProtection="1">
      <alignment horizontal="left"/>
    </xf>
    <xf numFmtId="0" fontId="8" fillId="18" borderId="3" xfId="0" applyFont="1" applyFill="1" applyBorder="1" applyProtection="1"/>
    <xf numFmtId="0" fontId="8" fillId="18" borderId="4" xfId="0" applyFont="1" applyFill="1" applyBorder="1" applyProtection="1"/>
    <xf numFmtId="0" fontId="17" fillId="18" borderId="0" xfId="0" applyFont="1" applyFill="1" applyBorder="1" applyProtection="1"/>
    <xf numFmtId="0" fontId="17" fillId="18" borderId="0" xfId="0" applyFont="1" applyFill="1" applyBorder="1" applyAlignment="1" applyProtection="1">
      <alignment horizontal="left"/>
    </xf>
    <xf numFmtId="0" fontId="16" fillId="18" borderId="0" xfId="0" applyFont="1" applyFill="1" applyBorder="1" applyProtection="1"/>
    <xf numFmtId="0" fontId="16" fillId="18" borderId="6" xfId="0" applyFont="1" applyFill="1" applyBorder="1" applyProtection="1"/>
    <xf numFmtId="14" fontId="15" fillId="18" borderId="0" xfId="0" applyNumberFormat="1" applyFont="1" applyFill="1" applyBorder="1" applyAlignment="1" applyProtection="1">
      <alignment horizontal="center"/>
    </xf>
    <xf numFmtId="14" fontId="13" fillId="18" borderId="6" xfId="0" applyNumberFormat="1" applyFont="1" applyFill="1" applyBorder="1" applyProtection="1"/>
    <xf numFmtId="0" fontId="16" fillId="18" borderId="0" xfId="0" applyFont="1" applyFill="1" applyBorder="1" applyAlignment="1" applyProtection="1">
      <alignment horizontal="right"/>
    </xf>
    <xf numFmtId="0" fontId="13" fillId="18" borderId="0" xfId="0" applyFont="1" applyFill="1" applyBorder="1" applyAlignment="1" applyProtection="1">
      <alignment horizontal="right"/>
    </xf>
    <xf numFmtId="0" fontId="22" fillId="7" borderId="0" xfId="0" applyFont="1" applyFill="1" applyBorder="1" applyAlignment="1" applyProtection="1">
      <alignment horizontal="left" vertical="top" wrapText="1"/>
    </xf>
    <xf numFmtId="0" fontId="22" fillId="7" borderId="6" xfId="0" applyFont="1" applyFill="1" applyBorder="1" applyAlignment="1" applyProtection="1">
      <alignment horizontal="left" vertical="top" wrapText="1"/>
    </xf>
    <xf numFmtId="0" fontId="22" fillId="0" borderId="0" xfId="0" applyFont="1" applyAlignment="1" applyProtection="1">
      <alignment horizontal="left" vertical="top" wrapText="1"/>
    </xf>
    <xf numFmtId="0" fontId="22" fillId="14" borderId="5" xfId="0" applyFont="1" applyFill="1" applyBorder="1" applyAlignment="1" applyProtection="1">
      <alignment horizontal="left" vertical="top" wrapText="1"/>
    </xf>
    <xf numFmtId="0" fontId="22" fillId="7" borderId="8" xfId="0" applyFont="1" applyFill="1" applyBorder="1" applyAlignment="1" applyProtection="1">
      <alignment wrapText="1"/>
    </xf>
    <xf numFmtId="0" fontId="22" fillId="7" borderId="9" xfId="0" applyFont="1" applyFill="1" applyBorder="1" applyAlignment="1" applyProtection="1">
      <alignment wrapText="1"/>
    </xf>
    <xf numFmtId="0" fontId="22" fillId="0" borderId="0" xfId="0" applyFont="1" applyAlignment="1" applyProtection="1">
      <alignment wrapText="1"/>
    </xf>
    <xf numFmtId="0" fontId="22" fillId="14" borderId="7" xfId="0" applyFont="1" applyFill="1" applyBorder="1" applyAlignment="1" applyProtection="1">
      <alignment wrapText="1"/>
    </xf>
    <xf numFmtId="0" fontId="22" fillId="7" borderId="7" xfId="0" applyFont="1" applyFill="1" applyBorder="1" applyAlignment="1" applyProtection="1">
      <alignment horizontal="left" vertical="center"/>
    </xf>
    <xf numFmtId="0" fontId="21" fillId="14" borderId="9" xfId="0" applyFont="1" applyFill="1" applyBorder="1" applyAlignment="1" applyProtection="1">
      <alignment horizontal="left" vertical="top" wrapText="1"/>
    </xf>
    <xf numFmtId="0" fontId="22" fillId="0" borderId="0" xfId="0" applyFont="1" applyAlignment="1" applyProtection="1">
      <alignment horizontal="left" vertical="center"/>
    </xf>
    <xf numFmtId="0" fontId="22" fillId="14" borderId="5" xfId="0" applyFont="1" applyFill="1" applyBorder="1" applyProtection="1"/>
    <xf numFmtId="0" fontId="22" fillId="7" borderId="5" xfId="0" applyFont="1" applyFill="1" applyBorder="1" applyProtection="1"/>
    <xf numFmtId="0" fontId="22" fillId="0" borderId="0" xfId="0" applyFont="1" applyProtection="1"/>
    <xf numFmtId="0" fontId="22" fillId="14" borderId="5" xfId="0" applyFont="1" applyFill="1" applyBorder="1" applyAlignment="1" applyProtection="1">
      <alignment horizontal="left" vertical="center"/>
    </xf>
    <xf numFmtId="0" fontId="22" fillId="7" borderId="0" xfId="0" applyFont="1" applyFill="1" applyBorder="1" applyAlignment="1" applyProtection="1">
      <alignment wrapText="1"/>
    </xf>
    <xf numFmtId="0" fontId="22" fillId="7" borderId="6" xfId="0" applyFont="1" applyFill="1" applyBorder="1" applyAlignment="1" applyProtection="1">
      <alignment wrapText="1"/>
    </xf>
    <xf numFmtId="0" fontId="22" fillId="14" borderId="7" xfId="0" applyFont="1" applyFill="1" applyBorder="1" applyAlignment="1" applyProtection="1">
      <alignment horizontal="left" vertical="center"/>
    </xf>
    <xf numFmtId="0" fontId="21" fillId="14" borderId="6" xfId="0" applyFont="1" applyFill="1" applyBorder="1" applyAlignment="1" applyProtection="1">
      <alignment horizontal="left" vertical="top" wrapText="1"/>
    </xf>
    <xf numFmtId="0" fontId="9" fillId="0" borderId="0" xfId="0" applyFont="1" applyAlignment="1" applyProtection="1">
      <alignment horizontal="right"/>
    </xf>
    <xf numFmtId="0" fontId="2" fillId="0" borderId="0" xfId="0" applyFont="1" applyAlignment="1" applyProtection="1"/>
    <xf numFmtId="0" fontId="15" fillId="16" borderId="1" xfId="0" applyFont="1" applyFill="1" applyBorder="1" applyAlignment="1" applyProtection="1">
      <alignment horizontal="center"/>
      <protection locked="0"/>
    </xf>
    <xf numFmtId="0" fontId="9" fillId="8" borderId="0" xfId="0" applyFont="1" applyFill="1" applyBorder="1" applyAlignment="1" applyProtection="1">
      <alignment horizontal="right"/>
    </xf>
    <xf numFmtId="0" fontId="11" fillId="6" borderId="0" xfId="1" applyFont="1" applyFill="1" applyBorder="1" applyAlignment="1" applyProtection="1">
      <alignment horizontal="right"/>
    </xf>
    <xf numFmtId="0" fontId="9" fillId="8" borderId="0" xfId="0" applyFont="1" applyFill="1" applyBorder="1" applyAlignment="1" applyProtection="1">
      <alignment horizontal="left"/>
      <protection locked="0"/>
    </xf>
    <xf numFmtId="0" fontId="8" fillId="0" borderId="0" xfId="0" applyFont="1" applyAlignment="1" applyProtection="1">
      <alignment horizontal="center"/>
    </xf>
    <xf numFmtId="0" fontId="8" fillId="7" borderId="3" xfId="0" applyFont="1" applyFill="1" applyBorder="1" applyAlignment="1" applyProtection="1">
      <alignment horizontal="center"/>
    </xf>
    <xf numFmtId="0" fontId="8" fillId="7" borderId="0" xfId="0" applyFont="1" applyFill="1" applyBorder="1" applyAlignment="1" applyProtection="1">
      <alignment horizontal="center"/>
    </xf>
    <xf numFmtId="14" fontId="12" fillId="0" borderId="1" xfId="0" applyNumberFormat="1" applyFont="1" applyFill="1" applyBorder="1" applyAlignment="1" applyProtection="1">
      <alignment horizontal="center"/>
      <protection locked="0"/>
    </xf>
    <xf numFmtId="14" fontId="12" fillId="0" borderId="1" xfId="0" applyNumberFormat="1" applyFont="1" applyFill="1" applyBorder="1" applyAlignment="1" applyProtection="1">
      <alignment horizontal="center"/>
    </xf>
    <xf numFmtId="14" fontId="8" fillId="7" borderId="0" xfId="0" applyNumberFormat="1" applyFont="1" applyFill="1" applyBorder="1" applyAlignment="1" applyProtection="1">
      <alignment horizontal="center"/>
    </xf>
    <xf numFmtId="0" fontId="5" fillId="0" borderId="3" xfId="0" applyFont="1" applyBorder="1" applyAlignment="1" applyProtection="1">
      <alignment horizontal="center" vertical="center" wrapText="1"/>
    </xf>
    <xf numFmtId="0" fontId="5" fillId="0" borderId="0" xfId="0" applyFont="1" applyBorder="1" applyAlignment="1" applyProtection="1">
      <alignment horizontal="center"/>
    </xf>
    <xf numFmtId="0" fontId="8" fillId="0" borderId="8" xfId="0" applyFont="1" applyBorder="1" applyAlignment="1" applyProtection="1">
      <alignment horizontal="center"/>
    </xf>
    <xf numFmtId="0" fontId="8" fillId="18" borderId="3" xfId="0" applyFont="1" applyFill="1" applyBorder="1" applyAlignment="1" applyProtection="1">
      <alignment horizontal="center"/>
    </xf>
    <xf numFmtId="0" fontId="16" fillId="18" borderId="0" xfId="0" applyFont="1" applyFill="1" applyBorder="1" applyAlignment="1" applyProtection="1">
      <alignment horizontal="center"/>
    </xf>
    <xf numFmtId="0" fontId="24" fillId="19" borderId="0" xfId="3" applyFont="1" applyFill="1" applyBorder="1" applyAlignment="1" applyProtection="1">
      <alignment horizontal="right" vertical="center"/>
    </xf>
    <xf numFmtId="0" fontId="11" fillId="18" borderId="0" xfId="3" applyFont="1" applyFill="1" applyBorder="1" applyAlignment="1" applyProtection="1">
      <alignment horizontal="right" vertical="center"/>
    </xf>
    <xf numFmtId="0" fontId="17" fillId="18" borderId="0" xfId="0" applyFont="1" applyFill="1" applyBorder="1" applyAlignment="1" applyProtection="1">
      <alignment horizontal="right" vertical="center"/>
    </xf>
    <xf numFmtId="0" fontId="17" fillId="18" borderId="0" xfId="0" applyFont="1" applyFill="1" applyBorder="1" applyAlignment="1" applyProtection="1">
      <alignment vertical="center"/>
    </xf>
    <xf numFmtId="0" fontId="16" fillId="18" borderId="0" xfId="0" applyFont="1" applyFill="1" applyBorder="1" applyAlignment="1" applyProtection="1">
      <alignment horizontal="center" vertical="center"/>
    </xf>
    <xf numFmtId="0" fontId="16" fillId="18" borderId="0" xfId="0" applyFont="1" applyFill="1" applyBorder="1" applyAlignment="1" applyProtection="1">
      <alignment horizontal="right" vertical="center"/>
    </xf>
    <xf numFmtId="14" fontId="15" fillId="16" borderId="1" xfId="0" applyNumberFormat="1" applyFont="1" applyFill="1" applyBorder="1" applyAlignment="1" applyProtection="1">
      <alignment horizontal="center" vertical="center"/>
    </xf>
    <xf numFmtId="1" fontId="5" fillId="0" borderId="0" xfId="0" applyNumberFormat="1" applyFont="1" applyAlignment="1" applyProtection="1">
      <alignment horizontal="left" vertical="center"/>
    </xf>
    <xf numFmtId="0" fontId="13" fillId="0" borderId="1" xfId="0" applyFont="1" applyFill="1" applyBorder="1" applyAlignment="1" applyProtection="1">
      <alignment horizontal="center" vertical="center"/>
      <protection locked="0"/>
    </xf>
    <xf numFmtId="0" fontId="9" fillId="10" borderId="0" xfId="0" applyFont="1" applyFill="1" applyBorder="1" applyAlignment="1" applyProtection="1">
      <alignment horizontal="right"/>
    </xf>
    <xf numFmtId="0" fontId="9" fillId="16" borderId="0" xfId="0" applyFont="1" applyFill="1" applyBorder="1" applyAlignment="1" applyProtection="1">
      <alignment horizontal="center"/>
      <protection locked="0"/>
    </xf>
    <xf numFmtId="164" fontId="5" fillId="0" borderId="10" xfId="0" applyNumberFormat="1" applyFont="1" applyBorder="1" applyAlignment="1">
      <alignment horizontal="right"/>
    </xf>
    <xf numFmtId="164" fontId="5" fillId="0" borderId="11" xfId="0" applyNumberFormat="1" applyFont="1" applyBorder="1" applyAlignment="1">
      <alignment horizontal="right"/>
    </xf>
    <xf numFmtId="164" fontId="5" fillId="7" borderId="11" xfId="0" applyNumberFormat="1" applyFont="1" applyFill="1" applyBorder="1" applyAlignment="1">
      <alignment horizontal="right"/>
    </xf>
    <xf numFmtId="164" fontId="5" fillId="0" borderId="12" xfId="0" applyNumberFormat="1" applyFont="1" applyBorder="1" applyAlignment="1">
      <alignment horizontal="right"/>
    </xf>
    <xf numFmtId="164" fontId="27" fillId="12" borderId="10" xfId="0" applyNumberFormat="1" applyFont="1" applyFill="1" applyBorder="1" applyAlignment="1" applyProtection="1">
      <alignment horizontal="center"/>
    </xf>
    <xf numFmtId="164" fontId="27" fillId="8" borderId="10" xfId="0" applyNumberFormat="1" applyFont="1" applyFill="1" applyBorder="1" applyAlignment="1" applyProtection="1">
      <alignment horizontal="center"/>
    </xf>
    <xf numFmtId="0" fontId="2" fillId="0" borderId="0" xfId="0" applyFont="1"/>
    <xf numFmtId="0" fontId="2" fillId="21" borderId="11" xfId="0" applyFont="1" applyFill="1" applyBorder="1"/>
    <xf numFmtId="0" fontId="6" fillId="22" borderId="1" xfId="0" applyFont="1" applyFill="1" applyBorder="1" applyAlignment="1">
      <alignment horizontal="center"/>
    </xf>
    <xf numFmtId="0" fontId="5" fillId="0" borderId="11" xfId="0" applyFont="1" applyBorder="1" applyAlignment="1">
      <alignment horizontal="center"/>
    </xf>
    <xf numFmtId="0" fontId="5" fillId="0" borderId="10" xfId="0" applyFont="1" applyBorder="1" applyAlignment="1">
      <alignment horizontal="center"/>
    </xf>
    <xf numFmtId="0" fontId="5" fillId="0" borderId="12" xfId="0" applyFont="1" applyBorder="1" applyAlignment="1">
      <alignment horizontal="center"/>
    </xf>
    <xf numFmtId="0" fontId="5" fillId="0" borderId="0" xfId="0" applyFont="1" applyAlignment="1">
      <alignment horizontal="center"/>
    </xf>
    <xf numFmtId="164" fontId="28" fillId="0" borderId="0" xfId="0" applyNumberFormat="1" applyFont="1" applyAlignment="1">
      <alignment horizontal="left"/>
    </xf>
    <xf numFmtId="164" fontId="9" fillId="0" borderId="0" xfId="0" applyNumberFormat="1" applyFont="1" applyAlignment="1">
      <alignment horizontal="left"/>
    </xf>
    <xf numFmtId="0" fontId="30" fillId="0" borderId="0" xfId="0" applyFont="1" applyProtection="1"/>
    <xf numFmtId="164" fontId="0" fillId="21" borderId="11" xfId="0" applyNumberFormat="1" applyFill="1" applyBorder="1"/>
    <xf numFmtId="164" fontId="5" fillId="0" borderId="2" xfId="0" applyNumberFormat="1" applyFont="1" applyBorder="1" applyAlignment="1">
      <alignment horizontal="right"/>
    </xf>
    <xf numFmtId="164" fontId="5" fillId="0" borderId="5" xfId="0" applyNumberFormat="1" applyFont="1" applyBorder="1" applyAlignment="1">
      <alignment horizontal="right"/>
    </xf>
    <xf numFmtId="164" fontId="5" fillId="7" borderId="5" xfId="0" applyNumberFormat="1" applyFont="1" applyFill="1" applyBorder="1" applyAlignment="1">
      <alignment horizontal="right"/>
    </xf>
    <xf numFmtId="164" fontId="2" fillId="21" borderId="11" xfId="0" applyNumberFormat="1" applyFont="1" applyFill="1" applyBorder="1"/>
    <xf numFmtId="164" fontId="5" fillId="0" borderId="7" xfId="0" applyNumberFormat="1" applyFont="1" applyBorder="1" applyAlignment="1">
      <alignment horizontal="right"/>
    </xf>
    <xf numFmtId="0" fontId="2" fillId="21" borderId="5" xfId="0" applyFont="1" applyFill="1" applyBorder="1"/>
    <xf numFmtId="164" fontId="27" fillId="23" borderId="10" xfId="0" applyNumberFormat="1" applyFont="1" applyFill="1" applyBorder="1" applyAlignment="1" applyProtection="1">
      <alignment horizontal="center"/>
    </xf>
    <xf numFmtId="164" fontId="5" fillId="23" borderId="11" xfId="0" applyNumberFormat="1" applyFont="1" applyFill="1" applyBorder="1" applyAlignment="1">
      <alignment horizontal="right"/>
    </xf>
    <xf numFmtId="164" fontId="27" fillId="15" borderId="1" xfId="0" applyNumberFormat="1" applyFont="1" applyFill="1" applyBorder="1" applyAlignment="1" applyProtection="1">
      <alignment horizontal="center"/>
    </xf>
    <xf numFmtId="0" fontId="5" fillId="23" borderId="11" xfId="0" applyFont="1" applyFill="1" applyBorder="1" applyAlignment="1">
      <alignment horizontal="center"/>
    </xf>
    <xf numFmtId="164" fontId="5" fillId="23" borderId="5" xfId="0" applyNumberFormat="1" applyFont="1" applyFill="1" applyBorder="1" applyAlignment="1">
      <alignment horizontal="right"/>
    </xf>
    <xf numFmtId="0" fontId="24" fillId="25" borderId="0" xfId="3" applyFont="1" applyFill="1" applyBorder="1" applyAlignment="1" applyProtection="1">
      <alignment horizontal="right" vertical="center"/>
    </xf>
    <xf numFmtId="0" fontId="13" fillId="24" borderId="0" xfId="0" applyFont="1" applyFill="1" applyBorder="1" applyAlignment="1" applyProtection="1">
      <alignment vertical="center"/>
    </xf>
    <xf numFmtId="0" fontId="13" fillId="26" borderId="0" xfId="0" applyFont="1" applyFill="1" applyBorder="1" applyAlignment="1" applyProtection="1">
      <alignment horizontal="right" vertical="center"/>
    </xf>
    <xf numFmtId="0" fontId="2" fillId="24" borderId="2" xfId="0" applyFont="1" applyFill="1" applyBorder="1" applyProtection="1"/>
    <xf numFmtId="0" fontId="2" fillId="24" borderId="3" xfId="0" applyFont="1" applyFill="1" applyBorder="1" applyProtection="1"/>
    <xf numFmtId="0" fontId="8" fillId="24" borderId="3" xfId="0" applyFont="1" applyFill="1" applyBorder="1" applyAlignment="1" applyProtection="1">
      <alignment horizontal="center"/>
    </xf>
    <xf numFmtId="0" fontId="8" fillId="24" borderId="4" xfId="0" applyFont="1" applyFill="1" applyBorder="1" applyProtection="1"/>
    <xf numFmtId="0" fontId="17" fillId="24" borderId="5" xfId="0" applyFont="1" applyFill="1" applyBorder="1" applyProtection="1"/>
    <xf numFmtId="0" fontId="17" fillId="24" borderId="0" xfId="0" applyFont="1" applyFill="1" applyBorder="1" applyProtection="1"/>
    <xf numFmtId="0" fontId="16" fillId="24" borderId="0" xfId="0" applyFont="1" applyFill="1" applyBorder="1" applyAlignment="1" applyProtection="1">
      <alignment horizontal="center"/>
    </xf>
    <xf numFmtId="0" fontId="16" fillId="24" borderId="6" xfId="0" applyFont="1" applyFill="1" applyBorder="1" applyProtection="1"/>
    <xf numFmtId="0" fontId="18" fillId="24" borderId="5" xfId="0" applyFont="1" applyFill="1" applyBorder="1" applyProtection="1"/>
    <xf numFmtId="0" fontId="11" fillId="24" borderId="0" xfId="3" applyFont="1" applyFill="1" applyBorder="1" applyAlignment="1" applyProtection="1">
      <alignment horizontal="right" vertical="center"/>
    </xf>
    <xf numFmtId="14" fontId="15" fillId="24" borderId="0" xfId="0" applyNumberFormat="1" applyFont="1" applyFill="1" applyBorder="1" applyAlignment="1" applyProtection="1">
      <alignment horizontal="center"/>
    </xf>
    <xf numFmtId="14" fontId="13" fillId="24" borderId="6" xfId="0" applyNumberFormat="1" applyFont="1" applyFill="1" applyBorder="1" applyProtection="1"/>
    <xf numFmtId="0" fontId="17" fillId="24" borderId="0" xfId="0" applyFont="1" applyFill="1" applyBorder="1" applyAlignment="1" applyProtection="1">
      <alignment horizontal="right" vertical="center"/>
    </xf>
    <xf numFmtId="0" fontId="16" fillId="24" borderId="0" xfId="0" applyFont="1" applyFill="1" applyBorder="1" applyAlignment="1" applyProtection="1">
      <alignment horizontal="center" vertical="center"/>
    </xf>
    <xf numFmtId="0" fontId="19" fillId="24" borderId="6" xfId="0" applyFont="1" applyFill="1" applyBorder="1" applyAlignment="1" applyProtection="1">
      <alignment horizontal="left" vertical="top" wrapText="1"/>
    </xf>
    <xf numFmtId="0" fontId="13" fillId="24" borderId="0" xfId="0" applyFont="1" applyFill="1" applyBorder="1" applyAlignment="1" applyProtection="1">
      <alignment horizontal="right"/>
    </xf>
    <xf numFmtId="164" fontId="23" fillId="0" borderId="1" xfId="0" applyNumberFormat="1" applyFont="1" applyFill="1" applyBorder="1" applyAlignment="1" applyProtection="1">
      <alignment horizontal="center" vertical="center"/>
      <protection locked="0"/>
    </xf>
    <xf numFmtId="1" fontId="34" fillId="16" borderId="1" xfId="0" applyNumberFormat="1" applyFont="1" applyFill="1" applyBorder="1" applyAlignment="1" applyProtection="1">
      <alignment horizontal="center" vertical="center"/>
      <protection locked="0"/>
    </xf>
    <xf numFmtId="0" fontId="31" fillId="0" borderId="0" xfId="0" applyFont="1" applyFill="1" applyBorder="1" applyAlignment="1" applyProtection="1">
      <alignment horizontal="justify" vertical="center" wrapText="1"/>
    </xf>
    <xf numFmtId="0" fontId="2" fillId="0" borderId="0" xfId="0" applyFont="1" applyAlignment="1" applyProtection="1">
      <alignment horizontal="justify"/>
    </xf>
    <xf numFmtId="0" fontId="22" fillId="14" borderId="0" xfId="0" applyFont="1" applyFill="1" applyBorder="1" applyAlignment="1" applyProtection="1">
      <alignment horizontal="justify" vertical="top" wrapText="1"/>
    </xf>
    <xf numFmtId="0" fontId="22" fillId="14" borderId="6" xfId="0" applyFont="1" applyFill="1" applyBorder="1" applyAlignment="1" applyProtection="1">
      <alignment horizontal="justify" vertical="top" wrapText="1"/>
    </xf>
    <xf numFmtId="0" fontId="22" fillId="0" borderId="0" xfId="0" applyFont="1" applyAlignment="1" applyProtection="1">
      <alignment horizontal="justify" vertical="top" wrapText="1"/>
    </xf>
    <xf numFmtId="0" fontId="22" fillId="7" borderId="5" xfId="0" applyFont="1" applyFill="1" applyBorder="1" applyAlignment="1" applyProtection="1">
      <alignment horizontal="justify"/>
    </xf>
    <xf numFmtId="0" fontId="22" fillId="14" borderId="0" xfId="0" applyFont="1" applyFill="1" applyBorder="1" applyAlignment="1" applyProtection="1">
      <alignment horizontal="justify" wrapText="1"/>
    </xf>
    <xf numFmtId="0" fontId="22" fillId="14" borderId="6" xfId="0" applyFont="1" applyFill="1" applyBorder="1" applyAlignment="1" applyProtection="1">
      <alignment horizontal="justify" wrapText="1"/>
    </xf>
    <xf numFmtId="0" fontId="22" fillId="0" borderId="0" xfId="0" applyFont="1" applyAlignment="1" applyProtection="1">
      <alignment horizontal="justify" wrapText="1"/>
    </xf>
    <xf numFmtId="0" fontId="22" fillId="7" borderId="5" xfId="0" applyFont="1" applyFill="1" applyBorder="1" applyAlignment="1" applyProtection="1">
      <alignment horizontal="justify" vertical="center"/>
    </xf>
    <xf numFmtId="0" fontId="22" fillId="14" borderId="8" xfId="0" applyFont="1" applyFill="1" applyBorder="1" applyAlignment="1" applyProtection="1">
      <alignment horizontal="justify" wrapText="1"/>
    </xf>
    <xf numFmtId="0" fontId="22" fillId="14" borderId="9" xfId="0" applyFont="1" applyFill="1" applyBorder="1" applyAlignment="1" applyProtection="1">
      <alignment horizontal="justify" wrapText="1"/>
    </xf>
    <xf numFmtId="0" fontId="22" fillId="7" borderId="7" xfId="0" applyFont="1" applyFill="1" applyBorder="1" applyAlignment="1" applyProtection="1">
      <alignment horizontal="justify" wrapText="1"/>
    </xf>
    <xf numFmtId="0" fontId="0" fillId="0" borderId="0" xfId="0" applyProtection="1"/>
    <xf numFmtId="164" fontId="23" fillId="0" borderId="1" xfId="0" applyNumberFormat="1" applyFont="1" applyFill="1" applyBorder="1" applyAlignment="1" applyProtection="1">
      <alignment horizontal="center" vertical="center"/>
    </xf>
    <xf numFmtId="16" fontId="0" fillId="0" borderId="0" xfId="0" applyNumberFormat="1" applyProtection="1"/>
    <xf numFmtId="164" fontId="15" fillId="0" borderId="1" xfId="0" applyNumberFormat="1" applyFont="1" applyFill="1" applyBorder="1" applyAlignment="1" applyProtection="1">
      <alignment horizontal="center" vertical="center"/>
      <protection locked="0"/>
    </xf>
    <xf numFmtId="0" fontId="35" fillId="24" borderId="0" xfId="0" applyFont="1" applyFill="1" applyBorder="1" applyAlignment="1" applyProtection="1">
      <alignment horizontal="right" vertical="center"/>
    </xf>
    <xf numFmtId="0" fontId="24" fillId="24" borderId="0" xfId="0" applyFont="1" applyFill="1" applyBorder="1" applyAlignment="1" applyProtection="1">
      <alignment horizontal="right"/>
    </xf>
    <xf numFmtId="0" fontId="13" fillId="21" borderId="0" xfId="3" applyFont="1" applyFill="1" applyBorder="1" applyAlignment="1" applyProtection="1">
      <alignment horizontal="right" vertical="center"/>
    </xf>
    <xf numFmtId="0" fontId="13" fillId="27" borderId="0" xfId="0" applyFont="1" applyFill="1" applyBorder="1" applyAlignment="1" applyProtection="1">
      <alignment horizontal="right" vertical="center"/>
    </xf>
    <xf numFmtId="0" fontId="8" fillId="0" borderId="0" xfId="0" applyFont="1" applyAlignment="1" applyProtection="1">
      <alignment horizontal="left" vertical="center"/>
    </xf>
    <xf numFmtId="164" fontId="5" fillId="0" borderId="3" xfId="0" applyNumberFormat="1" applyFont="1" applyBorder="1" applyAlignment="1">
      <alignment horizontal="right"/>
    </xf>
    <xf numFmtId="164" fontId="5" fillId="0" borderId="0" xfId="0" applyNumberFormat="1" applyFont="1" applyBorder="1" applyAlignment="1">
      <alignment horizontal="right"/>
    </xf>
    <xf numFmtId="0" fontId="36" fillId="0" borderId="0" xfId="0" applyFont="1" applyAlignment="1" applyProtection="1">
      <alignment horizontal="left" vertical="center"/>
    </xf>
    <xf numFmtId="0" fontId="17" fillId="0" borderId="0" xfId="0" applyFont="1" applyProtection="1"/>
    <xf numFmtId="0" fontId="38" fillId="0" borderId="0" xfId="0" applyFont="1" applyAlignment="1" applyProtection="1">
      <alignment horizontal="right" vertical="center"/>
    </xf>
    <xf numFmtId="0" fontId="17" fillId="0" borderId="0" xfId="0" applyFont="1" applyAlignment="1" applyProtection="1">
      <alignment horizontal="left" vertical="center"/>
    </xf>
    <xf numFmtId="0" fontId="5" fillId="23" borderId="12" xfId="0" applyFont="1" applyFill="1" applyBorder="1" applyAlignment="1">
      <alignment horizontal="center"/>
    </xf>
    <xf numFmtId="164" fontId="5" fillId="23" borderId="7" xfId="0" applyNumberFormat="1" applyFont="1" applyFill="1" applyBorder="1" applyAlignment="1">
      <alignment horizontal="right"/>
    </xf>
    <xf numFmtId="164" fontId="5" fillId="23" borderId="12" xfId="0" applyNumberFormat="1" applyFont="1" applyFill="1" applyBorder="1" applyAlignment="1">
      <alignment horizontal="right"/>
    </xf>
    <xf numFmtId="164" fontId="5" fillId="0" borderId="4" xfId="0" applyNumberFormat="1" applyFont="1" applyBorder="1" applyAlignment="1">
      <alignment horizontal="right"/>
    </xf>
    <xf numFmtId="164" fontId="5" fillId="0" borderId="6" xfId="0" applyNumberFormat="1" applyFont="1" applyBorder="1" applyAlignment="1">
      <alignment horizontal="right"/>
    </xf>
    <xf numFmtId="164" fontId="5" fillId="0" borderId="9" xfId="0" applyNumberFormat="1" applyFont="1" applyBorder="1" applyAlignment="1">
      <alignment horizontal="right"/>
    </xf>
    <xf numFmtId="22" fontId="38" fillId="0" borderId="0" xfId="0" applyNumberFormat="1" applyFont="1" applyAlignment="1" applyProtection="1">
      <alignment horizontal="left" vertical="center"/>
    </xf>
    <xf numFmtId="164" fontId="5" fillId="0" borderId="11" xfId="0" applyNumberFormat="1" applyFont="1" applyFill="1" applyBorder="1" applyAlignment="1">
      <alignment horizontal="right"/>
    </xf>
    <xf numFmtId="0" fontId="5" fillId="0" borderId="11" xfId="0" applyFont="1" applyFill="1" applyBorder="1" applyAlignment="1">
      <alignment horizontal="center"/>
    </xf>
    <xf numFmtId="16" fontId="1" fillId="29" borderId="0" xfId="4" applyNumberFormat="1" applyBorder="1" applyAlignment="1" applyProtection="1">
      <alignment horizontal="right" vertical="center"/>
    </xf>
    <xf numFmtId="0" fontId="5" fillId="23" borderId="3" xfId="0" applyFont="1" applyFill="1" applyBorder="1" applyAlignment="1">
      <alignment horizontal="center"/>
    </xf>
    <xf numFmtId="0" fontId="5" fillId="23" borderId="0" xfId="0" applyFont="1" applyFill="1" applyBorder="1" applyAlignment="1">
      <alignment horizontal="center"/>
    </xf>
    <xf numFmtId="0" fontId="37" fillId="28" borderId="5" xfId="0" applyFont="1" applyFill="1" applyBorder="1" applyAlignment="1" applyProtection="1">
      <alignment horizontal="center"/>
    </xf>
    <xf numFmtId="0" fontId="37" fillId="28" borderId="0" xfId="0" applyFont="1" applyFill="1" applyBorder="1" applyAlignment="1" applyProtection="1">
      <alignment horizontal="center"/>
    </xf>
    <xf numFmtId="0" fontId="37" fillId="28" borderId="6" xfId="0" applyFont="1" applyFill="1" applyBorder="1" applyAlignment="1" applyProtection="1">
      <alignment horizontal="center"/>
    </xf>
    <xf numFmtId="0" fontId="13" fillId="13" borderId="0" xfId="0" applyFont="1" applyFill="1" applyBorder="1" applyAlignment="1" applyProtection="1">
      <alignment horizontal="right"/>
    </xf>
    <xf numFmtId="0" fontId="21" fillId="14" borderId="0" xfId="0" applyFont="1" applyFill="1" applyBorder="1" applyAlignment="1" applyProtection="1">
      <alignment horizontal="justify" vertical="top" wrapText="1"/>
    </xf>
    <xf numFmtId="0" fontId="21" fillId="14" borderId="8" xfId="0" applyFont="1" applyFill="1" applyBorder="1" applyAlignment="1" applyProtection="1">
      <alignment horizontal="justify" vertical="top" wrapText="1"/>
    </xf>
    <xf numFmtId="0" fontId="11" fillId="9" borderId="0" xfId="3" applyFont="1" applyFill="1" applyBorder="1" applyAlignment="1" applyProtection="1">
      <alignment horizontal="right"/>
    </xf>
    <xf numFmtId="0" fontId="20" fillId="7" borderId="0" xfId="0" applyFont="1" applyFill="1" applyBorder="1" applyAlignment="1" applyProtection="1">
      <alignment horizontal="justify" vertical="top" wrapText="1"/>
    </xf>
    <xf numFmtId="0" fontId="9" fillId="10" borderId="0" xfId="0" applyFont="1" applyFill="1" applyBorder="1" applyAlignment="1" applyProtection="1">
      <alignment horizontal="right"/>
    </xf>
    <xf numFmtId="0" fontId="20" fillId="7" borderId="8" xfId="0" applyFont="1" applyFill="1" applyBorder="1" applyAlignment="1" applyProtection="1">
      <alignment horizontal="justify" vertical="top" wrapText="1"/>
    </xf>
    <xf numFmtId="0" fontId="20" fillId="18" borderId="0" xfId="0" applyFont="1" applyFill="1" applyBorder="1" applyAlignment="1" applyProtection="1">
      <alignment horizontal="justify" vertical="top" wrapText="1"/>
    </xf>
    <xf numFmtId="164" fontId="23" fillId="16" borderId="13" xfId="0" applyNumberFormat="1" applyFont="1" applyFill="1" applyBorder="1" applyAlignment="1" applyProtection="1">
      <alignment horizontal="center" vertical="center"/>
      <protection locked="0"/>
    </xf>
    <xf numFmtId="164" fontId="23" fillId="16" borderId="14" xfId="0" applyNumberFormat="1" applyFont="1" applyFill="1" applyBorder="1" applyAlignment="1" applyProtection="1">
      <alignment horizontal="center" vertical="center"/>
      <protection locked="0"/>
    </xf>
    <xf numFmtId="164" fontId="23" fillId="16" borderId="15" xfId="0" applyNumberFormat="1" applyFont="1" applyFill="1" applyBorder="1" applyAlignment="1" applyProtection="1">
      <alignment horizontal="center" vertical="center"/>
      <protection locked="0"/>
    </xf>
    <xf numFmtId="0" fontId="13" fillId="20" borderId="0" xfId="0" applyFont="1" applyFill="1" applyBorder="1" applyAlignment="1" applyProtection="1">
      <alignment horizontal="right" vertical="center"/>
    </xf>
    <xf numFmtId="0" fontId="13" fillId="17" borderId="0" xfId="0" applyFont="1" applyFill="1" applyBorder="1" applyAlignment="1" applyProtection="1">
      <alignment horizontal="right" vertical="center"/>
    </xf>
    <xf numFmtId="0" fontId="29" fillId="0" borderId="0" xfId="0" applyFont="1" applyFill="1" applyBorder="1" applyAlignment="1" applyProtection="1">
      <alignment horizontal="justify" vertical="center" wrapText="1"/>
    </xf>
    <xf numFmtId="0" fontId="2" fillId="0" borderId="19" xfId="0" applyFont="1" applyFill="1" applyBorder="1" applyAlignment="1" applyProtection="1">
      <alignment horizontal="left" vertical="top" wrapText="1"/>
    </xf>
    <xf numFmtId="0" fontId="2" fillId="0" borderId="18" xfId="0" applyFont="1" applyFill="1" applyBorder="1" applyAlignment="1" applyProtection="1">
      <alignment horizontal="left" vertical="top" wrapText="1"/>
    </xf>
    <xf numFmtId="0" fontId="2" fillId="0" borderId="16" xfId="0" applyFont="1" applyFill="1" applyBorder="1" applyAlignment="1" applyProtection="1">
      <alignment horizontal="left" vertical="top" wrapText="1"/>
    </xf>
    <xf numFmtId="0" fontId="2" fillId="0" borderId="17" xfId="0" applyFont="1" applyFill="1" applyBorder="1" applyAlignment="1" applyProtection="1">
      <alignment horizontal="left" vertical="top" wrapText="1"/>
    </xf>
    <xf numFmtId="0" fontId="24" fillId="28" borderId="5" xfId="0" applyFont="1" applyFill="1" applyBorder="1" applyAlignment="1" applyProtection="1">
      <alignment horizontal="center" vertical="center" wrapText="1"/>
    </xf>
    <xf numFmtId="0" fontId="24" fillId="28" borderId="0" xfId="0" applyFont="1" applyFill="1" applyBorder="1" applyAlignment="1" applyProtection="1">
      <alignment horizontal="center" vertical="center"/>
    </xf>
    <xf numFmtId="0" fontId="24" fillId="28" borderId="6" xfId="0" applyFont="1" applyFill="1" applyBorder="1" applyAlignment="1" applyProtection="1">
      <alignment horizontal="center" vertical="center"/>
    </xf>
    <xf numFmtId="0" fontId="11" fillId="9" borderId="0" xfId="1" applyFont="1" applyFill="1" applyBorder="1" applyAlignment="1" applyProtection="1">
      <alignment horizontal="right"/>
    </xf>
    <xf numFmtId="0" fontId="9" fillId="8" borderId="0" xfId="0" applyFont="1" applyFill="1" applyBorder="1" applyAlignment="1" applyProtection="1">
      <alignment horizontal="right"/>
    </xf>
    <xf numFmtId="0" fontId="20" fillId="14" borderId="8" xfId="0" applyFont="1" applyFill="1" applyBorder="1" applyAlignment="1" applyProtection="1">
      <alignment horizontal="justify" vertical="top" wrapText="1"/>
    </xf>
    <xf numFmtId="0" fontId="11" fillId="6" borderId="0" xfId="1" applyFont="1" applyFill="1" applyBorder="1" applyAlignment="1" applyProtection="1">
      <alignment horizontal="right"/>
    </xf>
    <xf numFmtId="0" fontId="20" fillId="14" borderId="0" xfId="0" applyFont="1" applyFill="1" applyBorder="1" applyAlignment="1" applyProtection="1">
      <alignment horizontal="justify" vertical="center" wrapText="1"/>
    </xf>
    <xf numFmtId="0" fontId="20" fillId="14" borderId="0" xfId="0" applyFont="1" applyFill="1" applyBorder="1" applyAlignment="1" applyProtection="1">
      <alignment horizontal="justify" vertical="top" wrapText="1"/>
    </xf>
    <xf numFmtId="0" fontId="9" fillId="5" borderId="0" xfId="0" applyFont="1" applyFill="1" applyBorder="1" applyAlignment="1" applyProtection="1">
      <alignment horizontal="right"/>
      <protection locked="0"/>
    </xf>
    <xf numFmtId="0" fontId="9" fillId="13" borderId="0" xfId="0" applyFont="1" applyFill="1" applyBorder="1" applyAlignment="1" applyProtection="1">
      <alignment horizontal="right"/>
    </xf>
    <xf numFmtId="0" fontId="9" fillId="12" borderId="0" xfId="0" applyFont="1" applyFill="1" applyBorder="1" applyAlignment="1" applyProtection="1">
      <alignment horizontal="right"/>
    </xf>
    <xf numFmtId="0" fontId="9" fillId="15" borderId="0" xfId="0" applyFont="1" applyFill="1" applyBorder="1" applyAlignment="1" applyProtection="1">
      <alignment horizontal="right"/>
    </xf>
    <xf numFmtId="0" fontId="5" fillId="0" borderId="0" xfId="0" applyFont="1" applyBorder="1" applyAlignment="1" applyProtection="1">
      <alignment horizontal="left"/>
    </xf>
    <xf numFmtId="0" fontId="8" fillId="0" borderId="5" xfId="0" applyFont="1" applyFill="1" applyBorder="1" applyAlignment="1" applyProtection="1">
      <alignment horizontal="center"/>
    </xf>
    <xf numFmtId="0" fontId="8" fillId="0" borderId="0" xfId="0" applyFont="1" applyFill="1" applyBorder="1" applyAlignment="1" applyProtection="1">
      <alignment horizontal="center"/>
    </xf>
    <xf numFmtId="0" fontId="8" fillId="0" borderId="6" xfId="0" applyFont="1" applyFill="1" applyBorder="1" applyAlignment="1" applyProtection="1">
      <alignment horizontal="center"/>
    </xf>
    <xf numFmtId="0" fontId="20" fillId="24" borderId="0" xfId="0" applyFont="1" applyFill="1" applyBorder="1" applyAlignment="1" applyProtection="1">
      <alignment horizontal="justify" vertical="top" wrapText="1"/>
    </xf>
    <xf numFmtId="0" fontId="3" fillId="0" borderId="0" xfId="0" applyFont="1" applyFill="1" applyBorder="1" applyAlignment="1" applyProtection="1">
      <alignment horizontal="left" vertical="center" wrapText="1"/>
    </xf>
    <xf numFmtId="0" fontId="3" fillId="0" borderId="6" xfId="0" applyFont="1" applyFill="1" applyBorder="1" applyAlignment="1" applyProtection="1">
      <alignment horizontal="left" vertical="center" wrapText="1"/>
    </xf>
    <xf numFmtId="0" fontId="3" fillId="0" borderId="0" xfId="0" applyFont="1" applyFill="1" applyBorder="1" applyAlignment="1" applyProtection="1">
      <alignment horizontal="center" vertical="center" wrapText="1"/>
    </xf>
    <xf numFmtId="0" fontId="11" fillId="6" borderId="2" xfId="1" applyFont="1" applyFill="1" applyBorder="1" applyAlignment="1" applyProtection="1">
      <alignment horizontal="center" vertical="center" wrapText="1"/>
    </xf>
    <xf numFmtId="0" fontId="11" fillId="6" borderId="3" xfId="1" applyFont="1" applyFill="1" applyBorder="1" applyAlignment="1" applyProtection="1">
      <alignment horizontal="center" vertical="center" wrapText="1"/>
    </xf>
    <xf numFmtId="0" fontId="11" fillId="6" borderId="4" xfId="1" applyFont="1" applyFill="1" applyBorder="1" applyAlignment="1" applyProtection="1">
      <alignment horizontal="center" vertical="center" wrapText="1"/>
    </xf>
    <xf numFmtId="0" fontId="11" fillId="9" borderId="5" xfId="2" applyFont="1" applyFill="1" applyBorder="1" applyAlignment="1" applyProtection="1">
      <alignment horizontal="center" vertical="center" wrapText="1"/>
    </xf>
    <xf numFmtId="0" fontId="11" fillId="9" borderId="0" xfId="2" applyFont="1" applyFill="1" applyBorder="1" applyAlignment="1" applyProtection="1">
      <alignment horizontal="center" vertical="center" wrapText="1"/>
    </xf>
    <xf numFmtId="0" fontId="11" fillId="9" borderId="6" xfId="2" applyFont="1" applyFill="1" applyBorder="1" applyAlignment="1" applyProtection="1">
      <alignment horizontal="center" vertical="center" wrapText="1"/>
    </xf>
    <xf numFmtId="0" fontId="3" fillId="0" borderId="8"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0" fontId="7" fillId="5" borderId="13" xfId="0" applyFont="1" applyFill="1" applyBorder="1" applyAlignment="1" applyProtection="1">
      <alignment horizontal="center" vertical="center"/>
    </xf>
    <xf numFmtId="0" fontId="7" fillId="5" borderId="14" xfId="0" applyFont="1" applyFill="1" applyBorder="1" applyAlignment="1" applyProtection="1">
      <alignment horizontal="center" vertical="center"/>
    </xf>
    <xf numFmtId="0" fontId="7" fillId="5" borderId="15" xfId="0" applyFont="1" applyFill="1" applyBorder="1" applyAlignment="1" applyProtection="1">
      <alignment horizontal="center" vertical="center"/>
    </xf>
    <xf numFmtId="0" fontId="7" fillId="11" borderId="13" xfId="0" applyFont="1" applyFill="1" applyBorder="1" applyAlignment="1" applyProtection="1">
      <alignment horizontal="center" vertical="center"/>
    </xf>
    <xf numFmtId="0" fontId="7" fillId="11" borderId="14" xfId="0" applyFont="1" applyFill="1" applyBorder="1" applyAlignment="1" applyProtection="1">
      <alignment horizontal="center" vertical="center"/>
    </xf>
    <xf numFmtId="0" fontId="7" fillId="11" borderId="15" xfId="0" applyFont="1" applyFill="1" applyBorder="1" applyAlignment="1" applyProtection="1">
      <alignment horizontal="center" vertical="center"/>
    </xf>
    <xf numFmtId="0" fontId="5" fillId="0" borderId="0" xfId="0" applyFont="1" applyFill="1" applyBorder="1" applyAlignment="1" applyProtection="1">
      <alignment horizontal="center" vertical="center" wrapText="1"/>
    </xf>
    <xf numFmtId="0" fontId="6" fillId="5" borderId="10" xfId="0" applyFont="1" applyFill="1" applyBorder="1" applyAlignment="1" applyProtection="1">
      <alignment horizontal="center" vertical="center" wrapText="1"/>
    </xf>
    <xf numFmtId="0" fontId="6" fillId="5" borderId="11" xfId="0" applyFont="1" applyFill="1" applyBorder="1" applyAlignment="1" applyProtection="1">
      <alignment horizontal="center" vertical="center" wrapText="1"/>
    </xf>
    <xf numFmtId="0" fontId="6" fillId="5" borderId="12" xfId="0" applyFont="1" applyFill="1" applyBorder="1" applyAlignment="1" applyProtection="1">
      <alignment horizontal="center" vertical="center" wrapText="1"/>
    </xf>
    <xf numFmtId="0" fontId="7" fillId="11" borderId="13" xfId="0" applyFont="1" applyFill="1" applyBorder="1" applyAlignment="1" applyProtection="1">
      <alignment horizontal="center" vertical="center" wrapText="1"/>
    </xf>
    <xf numFmtId="0" fontId="7" fillId="11" borderId="14" xfId="0" applyFont="1" applyFill="1" applyBorder="1" applyAlignment="1" applyProtection="1">
      <alignment horizontal="center" vertical="center" wrapText="1"/>
    </xf>
    <xf numFmtId="0" fontId="7" fillId="11" borderId="15" xfId="0" applyFont="1" applyFill="1" applyBorder="1" applyAlignment="1" applyProtection="1">
      <alignment horizontal="center" vertical="center" wrapText="1"/>
    </xf>
    <xf numFmtId="0" fontId="5" fillId="0" borderId="0" xfId="0" applyFont="1" applyFill="1" applyAlignment="1" applyProtection="1">
      <alignment horizontal="justify" vertical="top" wrapText="1"/>
    </xf>
    <xf numFmtId="0" fontId="6" fillId="11" borderId="10" xfId="0" applyFont="1" applyFill="1" applyBorder="1" applyAlignment="1" applyProtection="1">
      <alignment horizontal="center" vertical="center" wrapText="1"/>
    </xf>
    <xf numFmtId="0" fontId="6" fillId="11" borderId="11" xfId="0" applyFont="1" applyFill="1" applyBorder="1" applyAlignment="1" applyProtection="1">
      <alignment horizontal="center" vertical="center" wrapText="1"/>
    </xf>
    <xf numFmtId="0" fontId="6" fillId="11" borderId="12" xfId="0" applyFont="1" applyFill="1" applyBorder="1" applyAlignment="1" applyProtection="1">
      <alignment horizontal="center" vertical="center" wrapText="1"/>
    </xf>
    <xf numFmtId="0" fontId="6" fillId="10" borderId="10" xfId="0" applyFont="1" applyFill="1" applyBorder="1" applyAlignment="1" applyProtection="1">
      <alignment horizontal="center" vertical="center" wrapText="1"/>
    </xf>
    <xf numFmtId="0" fontId="6" fillId="10" borderId="11" xfId="0" applyFont="1" applyFill="1" applyBorder="1" applyAlignment="1" applyProtection="1">
      <alignment horizontal="center" vertical="center" wrapText="1"/>
    </xf>
    <xf numFmtId="0" fontId="6" fillId="10" borderId="12" xfId="0" applyFont="1" applyFill="1" applyBorder="1" applyAlignment="1" applyProtection="1">
      <alignment horizontal="center" vertical="center" wrapText="1"/>
    </xf>
    <xf numFmtId="0" fontId="7" fillId="10" borderId="13" xfId="0" applyFont="1" applyFill="1" applyBorder="1" applyAlignment="1" applyProtection="1">
      <alignment horizontal="center" vertical="center" wrapText="1"/>
    </xf>
    <xf numFmtId="0" fontId="7" fillId="10" borderId="14" xfId="0" applyFont="1" applyFill="1" applyBorder="1" applyAlignment="1" applyProtection="1">
      <alignment horizontal="center" vertical="center" wrapText="1"/>
    </xf>
    <xf numFmtId="0" fontId="7" fillId="10" borderId="15" xfId="0" applyFont="1" applyFill="1" applyBorder="1" applyAlignment="1" applyProtection="1">
      <alignment horizontal="center" vertical="center" wrapText="1"/>
    </xf>
  </cellXfs>
  <cellStyles count="5">
    <cellStyle name="60% - Énfasis3" xfId="4" builtinId="40"/>
    <cellStyle name="Énfasis1" xfId="1" builtinId="29"/>
    <cellStyle name="Énfasis5" xfId="2" builtinId="45"/>
    <cellStyle name="Énfasis6" xfId="3" builtinId="49"/>
    <cellStyle name="Normal" xfId="0" builtinId="0"/>
  </cellStyles>
  <dxfs count="234">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2" defaultPivotStyle="PivotStyleMedium9"/>
  <colors>
    <mruColors>
      <color rgb="FFFFFFCC"/>
      <color rgb="FF33CCCC"/>
      <color rgb="FFB7ECFF"/>
      <color rgb="FF00EA6A"/>
      <color rgb="FF00DA00"/>
      <color rgb="FF33CC33"/>
      <color rgb="FF66FF99"/>
      <color rgb="FF79DCFF"/>
      <color rgb="FF66CCFF"/>
      <color rgb="FFA3E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340206</xdr:colOff>
      <xdr:row>2</xdr:row>
      <xdr:rowOff>83728</xdr:rowOff>
    </xdr:to>
    <xdr:pic>
      <xdr:nvPicPr>
        <xdr:cNvPr id="3" name="1 Imagen" descr="https://www.osiptel.gob.pe/repositorioaps/data/1/1/1/zon/zona-logo/images/logo.pn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311881" cy="598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81492</xdr:colOff>
      <xdr:row>0</xdr:row>
      <xdr:rowOff>1</xdr:rowOff>
    </xdr:from>
    <xdr:to>
      <xdr:col>2</xdr:col>
      <xdr:colOff>2219326</xdr:colOff>
      <xdr:row>2</xdr:row>
      <xdr:rowOff>83729</xdr:rowOff>
    </xdr:to>
    <xdr:pic>
      <xdr:nvPicPr>
        <xdr:cNvPr id="3" name="1 Imagen" descr="https://www.osiptel.gob.pe/repositorioaps/data/1/1/1/zon/zona-logo/images/logo.png">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492" y="1"/>
          <a:ext cx="2309284" cy="598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81492</xdr:colOff>
      <xdr:row>0</xdr:row>
      <xdr:rowOff>1</xdr:rowOff>
    </xdr:from>
    <xdr:to>
      <xdr:col>4</xdr:col>
      <xdr:colOff>10583</xdr:colOff>
      <xdr:row>2</xdr:row>
      <xdr:rowOff>74082</xdr:rowOff>
    </xdr:to>
    <xdr:pic>
      <xdr:nvPicPr>
        <xdr:cNvPr id="2" name="1 Imagen" descr="https://www.osiptel.gob.pe/repositorioaps/data/1/1/1/zon/zona-logo/images/logo.png">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492" y="1"/>
          <a:ext cx="2299758" cy="5820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857250</xdr:colOff>
      <xdr:row>0</xdr:row>
      <xdr:rowOff>66675</xdr:rowOff>
    </xdr:from>
    <xdr:to>
      <xdr:col>5</xdr:col>
      <xdr:colOff>2924175</xdr:colOff>
      <xdr:row>0</xdr:row>
      <xdr:rowOff>828675</xdr:rowOff>
    </xdr:to>
    <xdr:pic>
      <xdr:nvPicPr>
        <xdr:cNvPr id="3" name="1 Imagen" descr="https://www.osiptel.gob.pe/repositorioaps/data/1/1/1/zon/zona-logo/images/logo.png">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66675"/>
          <a:ext cx="3162300"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B1:T34"/>
  <sheetViews>
    <sheetView showGridLines="0" workbookViewId="0">
      <pane ySplit="3" topLeftCell="A15" activePane="bottomLeft" state="frozen"/>
      <selection pane="bottomLeft" activeCell="M28" sqref="M28"/>
    </sheetView>
  </sheetViews>
  <sheetFormatPr baseColWidth="10" defaultColWidth="9.28515625" defaultRowHeight="18.75" x14ac:dyDescent="0.3"/>
  <cols>
    <col min="1" max="1" width="1.7109375" style="8" customWidth="1"/>
    <col min="2" max="2" width="0.7109375" style="8" customWidth="1"/>
    <col min="3" max="3" width="25.7109375" style="8" customWidth="1"/>
    <col min="4" max="4" width="1.28515625" style="8" customWidth="1"/>
    <col min="5" max="5" width="22.7109375" style="9" customWidth="1"/>
    <col min="6" max="6" width="3.7109375" style="8" hidden="1" customWidth="1"/>
    <col min="7" max="7" width="1.28515625" style="8" customWidth="1"/>
    <col min="8" max="8" width="14.28515625" style="140" customWidth="1"/>
    <col min="9" max="9" width="84" style="10" hidden="1" customWidth="1"/>
    <col min="10" max="10" width="0.7109375" style="10" customWidth="1"/>
    <col min="11" max="11" width="1.28515625" style="10" customWidth="1"/>
    <col min="12" max="12" width="0.7109375" style="10" customWidth="1"/>
    <col min="13" max="13" width="39" style="10" customWidth="1"/>
    <col min="14" max="14" width="15" style="10" customWidth="1"/>
    <col min="15" max="15" width="2.42578125" style="8" hidden="1" customWidth="1"/>
    <col min="16" max="16" width="1.28515625" style="8" customWidth="1"/>
    <col min="17" max="17" width="14.28515625" style="8" customWidth="1"/>
    <col min="18" max="18" width="0.7109375" style="8" customWidth="1"/>
    <col min="19" max="19" width="75.28515625" style="8" hidden="1" customWidth="1"/>
    <col min="20" max="20" width="15.5703125" style="8" bestFit="1" customWidth="1"/>
    <col min="21" max="16384" width="9.28515625" style="8"/>
  </cols>
  <sheetData>
    <row r="1" spans="2:19" ht="19.5" thickBot="1" x14ac:dyDescent="0.35"/>
    <row r="2" spans="2:19" ht="21" thickBot="1" x14ac:dyDescent="0.35">
      <c r="M2" s="135"/>
      <c r="N2" s="134" t="s">
        <v>71</v>
      </c>
      <c r="O2" s="135"/>
      <c r="P2" s="135"/>
      <c r="Q2" s="136" t="s">
        <v>69</v>
      </c>
    </row>
    <row r="3" spans="2:19" ht="9" customHeight="1" thickBot="1" x14ac:dyDescent="0.35"/>
    <row r="4" spans="2:19" ht="5.25" customHeight="1" x14ac:dyDescent="0.3">
      <c r="B4" s="11"/>
      <c r="C4" s="12"/>
      <c r="D4" s="12"/>
      <c r="E4" s="13"/>
      <c r="F4" s="12"/>
      <c r="G4" s="12"/>
      <c r="H4" s="141"/>
      <c r="I4" s="14"/>
      <c r="J4" s="15"/>
      <c r="L4" s="61"/>
      <c r="M4" s="58"/>
      <c r="N4" s="58"/>
      <c r="O4" s="59"/>
      <c r="P4" s="59"/>
      <c r="Q4" s="59"/>
      <c r="R4" s="60"/>
    </row>
    <row r="5" spans="2:19" x14ac:dyDescent="0.3">
      <c r="B5" s="251" t="s">
        <v>112</v>
      </c>
      <c r="C5" s="252"/>
      <c r="D5" s="252"/>
      <c r="E5" s="252"/>
      <c r="F5" s="252"/>
      <c r="G5" s="252"/>
      <c r="H5" s="252"/>
      <c r="I5" s="252"/>
      <c r="J5" s="253"/>
      <c r="K5" s="44"/>
      <c r="L5" s="251" t="s">
        <v>120</v>
      </c>
      <c r="M5" s="252"/>
      <c r="N5" s="252"/>
      <c r="O5" s="252"/>
      <c r="P5" s="252"/>
      <c r="Q5" s="252"/>
      <c r="R5" s="253"/>
    </row>
    <row r="6" spans="2:19" ht="5.25" customHeight="1" thickBot="1" x14ac:dyDescent="0.35">
      <c r="B6" s="16"/>
      <c r="C6" s="18"/>
      <c r="D6" s="18"/>
      <c r="E6" s="17"/>
      <c r="F6" s="18"/>
      <c r="G6" s="18"/>
      <c r="H6" s="142"/>
      <c r="I6" s="19"/>
      <c r="J6" s="20"/>
      <c r="L6" s="51"/>
      <c r="M6" s="52"/>
      <c r="N6" s="52"/>
      <c r="O6" s="47"/>
      <c r="P6" s="47"/>
      <c r="Q6" s="47"/>
      <c r="R6" s="48"/>
    </row>
    <row r="7" spans="2:19" s="24" customFormat="1" ht="21" thickBot="1" x14ac:dyDescent="0.35">
      <c r="B7" s="21"/>
      <c r="C7" s="257" t="s">
        <v>38</v>
      </c>
      <c r="D7" s="257"/>
      <c r="E7" s="257"/>
      <c r="F7" s="257"/>
      <c r="G7" s="22"/>
      <c r="H7" s="143">
        <v>46308</v>
      </c>
      <c r="I7" s="23"/>
      <c r="J7" s="30"/>
      <c r="K7" s="8"/>
      <c r="L7" s="49"/>
      <c r="M7" s="138" t="s">
        <v>49</v>
      </c>
      <c r="N7" s="77" t="s">
        <v>39</v>
      </c>
      <c r="O7" s="56" t="str">
        <f>IF(N7="Queja","3","5")</f>
        <v>3</v>
      </c>
      <c r="P7" s="53"/>
      <c r="Q7" s="143">
        <v>46318</v>
      </c>
      <c r="R7" s="48"/>
    </row>
    <row r="8" spans="2:19" ht="5.25" customHeight="1" thickBot="1" x14ac:dyDescent="0.35">
      <c r="B8" s="16"/>
      <c r="C8" s="25"/>
      <c r="D8" s="25"/>
      <c r="E8" s="25"/>
      <c r="F8" s="25"/>
      <c r="G8" s="18"/>
      <c r="H8" s="145">
        <v>44681</v>
      </c>
      <c r="I8" s="19"/>
      <c r="J8" s="30"/>
      <c r="L8" s="49"/>
      <c r="M8" s="47"/>
      <c r="N8" s="54"/>
      <c r="O8" s="55"/>
      <c r="P8" s="55"/>
      <c r="Q8" s="63"/>
      <c r="R8" s="48"/>
    </row>
    <row r="9" spans="2:19" s="10" customFormat="1" ht="21" thickBot="1" x14ac:dyDescent="0.35">
      <c r="B9" s="26"/>
      <c r="C9" s="2" t="s">
        <v>44</v>
      </c>
      <c r="D9" s="137"/>
      <c r="E9" s="139" t="s">
        <v>50</v>
      </c>
      <c r="F9" s="27">
        <f>IF(E9="03 días hábiles","3",IF(E9="15 días hábiles",15,20))</f>
        <v>20</v>
      </c>
      <c r="G9" s="27"/>
      <c r="H9" s="144">
        <f>WORKDAY.INTL(H7,F9,1,'No laborables'!$B7:$B286)</f>
        <v>46336</v>
      </c>
      <c r="I9" s="29"/>
      <c r="J9" s="30"/>
      <c r="K9" s="31"/>
      <c r="L9" s="49"/>
      <c r="M9" s="254" t="s">
        <v>40</v>
      </c>
      <c r="N9" s="254"/>
      <c r="O9" s="56"/>
      <c r="P9" s="56"/>
      <c r="Q9" s="62">
        <f>WORKDAY.INTL(Q7,O7,1,'No laborables (2)'!$B7:$B298)</f>
        <v>46323</v>
      </c>
      <c r="R9" s="48"/>
      <c r="S9" s="32"/>
    </row>
    <row r="10" spans="2:19" ht="5.25" customHeight="1" thickBot="1" x14ac:dyDescent="0.35">
      <c r="B10" s="16"/>
      <c r="C10" s="33"/>
      <c r="D10" s="33"/>
      <c r="E10" s="33"/>
      <c r="F10" s="27"/>
      <c r="G10" s="25"/>
      <c r="H10" s="145"/>
      <c r="I10" s="34"/>
      <c r="J10" s="35"/>
      <c r="K10" s="36"/>
      <c r="L10" s="45"/>
      <c r="M10" s="46"/>
      <c r="N10" s="46"/>
      <c r="O10" s="47"/>
      <c r="P10" s="47"/>
      <c r="Q10" s="47"/>
      <c r="R10" s="48"/>
    </row>
    <row r="11" spans="2:19" ht="21" thickBot="1" x14ac:dyDescent="0.35">
      <c r="B11" s="16"/>
      <c r="C11" s="259" t="s">
        <v>45</v>
      </c>
      <c r="D11" s="259"/>
      <c r="E11" s="259"/>
      <c r="F11" s="27">
        <v>5</v>
      </c>
      <c r="G11" s="25"/>
      <c r="H11" s="144">
        <f>WORKDAY.INTL(H9,F11,1,'No laborables'!$B7:$B286)</f>
        <v>46343</v>
      </c>
      <c r="I11" s="29"/>
      <c r="J11" s="30"/>
      <c r="K11" s="31"/>
      <c r="L11" s="49"/>
      <c r="M11" s="50"/>
      <c r="N11" s="50"/>
      <c r="O11" s="47"/>
      <c r="P11" s="47"/>
      <c r="Q11" s="47"/>
      <c r="R11" s="48"/>
    </row>
    <row r="12" spans="2:19" ht="5.25" customHeight="1" x14ac:dyDescent="0.3">
      <c r="B12" s="16"/>
      <c r="C12" s="18"/>
      <c r="D12" s="18"/>
      <c r="E12" s="17"/>
      <c r="F12" s="18"/>
      <c r="G12" s="18"/>
      <c r="H12" s="142"/>
      <c r="I12" s="19"/>
      <c r="J12" s="20"/>
      <c r="L12" s="51"/>
      <c r="M12" s="52"/>
      <c r="N12" s="52"/>
      <c r="O12" s="47"/>
      <c r="P12" s="47"/>
      <c r="Q12" s="47"/>
      <c r="R12" s="48"/>
    </row>
    <row r="13" spans="2:19" s="128" customFormat="1" ht="39" customHeight="1" x14ac:dyDescent="0.2">
      <c r="B13" s="127"/>
      <c r="C13" s="258" t="s">
        <v>52</v>
      </c>
      <c r="D13" s="258"/>
      <c r="E13" s="258"/>
      <c r="F13" s="258"/>
      <c r="G13" s="258"/>
      <c r="H13" s="258"/>
      <c r="I13" s="115"/>
      <c r="J13" s="116"/>
      <c r="K13" s="117"/>
      <c r="L13" s="118"/>
      <c r="M13" s="255" t="str">
        <f>IF(N7="Apelación",S15,S14)</f>
        <v>Artículo 74.- Remisión de la queja al TRASU
El TRASU será el encargado de resolver las quejas que presenten los usuarios contra la primera instancia administrativa de las empresas operadoras.
Presentada dicha solicitud en la empresa operadora, ésta deberá elevarla al TRASU en un plazo no mayor de tres (3) días hábiles contados a partir del día siguiente de su presentación, conjuntamente con sus descargos y el expediente correspondiente, organizado formalmente conforme a lo dispuesto en el artículo 77.</v>
      </c>
      <c r="N13" s="255"/>
      <c r="O13" s="255"/>
      <c r="P13" s="255"/>
      <c r="Q13" s="255"/>
      <c r="R13" s="133"/>
    </row>
    <row r="14" spans="2:19" s="125" customFormat="1" ht="138.75" customHeight="1" thickBot="1" x14ac:dyDescent="0.25">
      <c r="B14" s="123"/>
      <c r="C14" s="260" t="str">
        <f>IF(E9="03 días hábiles",I14,IF(E9="15 días hábiles",I15,I16))</f>
        <v>(…)
3. Hasta veinte (20) días hábiles, contados desde el día siguiente de su presentación ante la empresa operadora, en los demás casos.
Para las materias de reclamo que hayan sido previstas en otras normas, se aplicará el plazo que haya sido señalado en las mismas, en caso contrario, se regirán por el plazo mayor que establece el presente Reglamento.</v>
      </c>
      <c r="D14" s="260"/>
      <c r="E14" s="260"/>
      <c r="F14" s="260"/>
      <c r="G14" s="260"/>
      <c r="H14" s="260"/>
      <c r="I14" s="119" t="s">
        <v>46</v>
      </c>
      <c r="J14" s="120"/>
      <c r="K14" s="121"/>
      <c r="L14" s="122"/>
      <c r="M14" s="256"/>
      <c r="N14" s="256"/>
      <c r="O14" s="256"/>
      <c r="P14" s="256"/>
      <c r="Q14" s="256"/>
      <c r="R14" s="124"/>
      <c r="S14" s="121" t="s">
        <v>64</v>
      </c>
    </row>
    <row r="15" spans="2:19" s="89" customFormat="1" ht="13.15" customHeight="1" x14ac:dyDescent="0.2">
      <c r="B15" s="78"/>
      <c r="C15" s="79" t="s">
        <v>51</v>
      </c>
      <c r="D15" s="79"/>
      <c r="E15" s="80"/>
      <c r="F15" s="80"/>
      <c r="G15" s="80"/>
      <c r="H15" s="146"/>
      <c r="I15" s="81" t="s">
        <v>47</v>
      </c>
      <c r="J15" s="82"/>
      <c r="K15" s="83"/>
      <c r="L15" s="84"/>
      <c r="M15" s="85" t="s">
        <v>51</v>
      </c>
      <c r="N15" s="86"/>
      <c r="O15" s="86"/>
      <c r="P15" s="86"/>
      <c r="Q15" s="86"/>
      <c r="R15" s="87"/>
      <c r="S15" s="88" t="s">
        <v>63</v>
      </c>
    </row>
    <row r="16" spans="2:19" s="90" customFormat="1" ht="13.15" customHeight="1" x14ac:dyDescent="0.2">
      <c r="B16" s="91"/>
      <c r="C16" s="92" t="s">
        <v>72</v>
      </c>
      <c r="D16" s="92"/>
      <c r="E16" s="93"/>
      <c r="F16" s="92"/>
      <c r="G16" s="92"/>
      <c r="H16" s="147"/>
      <c r="I16" s="94" t="s">
        <v>48</v>
      </c>
      <c r="J16" s="95"/>
      <c r="K16" s="83"/>
      <c r="L16" s="96"/>
      <c r="M16" s="92" t="s">
        <v>103</v>
      </c>
      <c r="N16" s="92"/>
      <c r="O16" s="92"/>
      <c r="P16" s="92"/>
      <c r="Q16" s="92"/>
      <c r="R16" s="97"/>
    </row>
    <row r="17" spans="2:20" s="90" customFormat="1" ht="13.15" customHeight="1" x14ac:dyDescent="0.2">
      <c r="B17" s="91"/>
      <c r="C17" s="92" t="s">
        <v>104</v>
      </c>
      <c r="D17" s="92"/>
      <c r="E17" s="93"/>
      <c r="F17" s="92"/>
      <c r="G17" s="92"/>
      <c r="H17" s="147"/>
      <c r="I17" s="92"/>
      <c r="J17" s="97"/>
      <c r="L17" s="91"/>
      <c r="M17" s="92" t="s">
        <v>105</v>
      </c>
      <c r="N17" s="92"/>
      <c r="O17" s="92"/>
      <c r="P17" s="92"/>
      <c r="Q17" s="92"/>
      <c r="R17" s="97"/>
    </row>
    <row r="18" spans="2:20" ht="5.25" customHeight="1" thickBot="1" x14ac:dyDescent="0.35">
      <c r="B18" s="37"/>
      <c r="C18" s="38"/>
      <c r="D18" s="38"/>
      <c r="E18" s="39"/>
      <c r="F18" s="38"/>
      <c r="G18" s="38"/>
      <c r="H18" s="148"/>
      <c r="I18" s="40"/>
      <c r="J18" s="41"/>
      <c r="L18" s="42"/>
      <c r="M18" s="40"/>
      <c r="N18" s="40"/>
      <c r="O18" s="38"/>
      <c r="P18" s="38"/>
      <c r="Q18" s="38"/>
      <c r="R18" s="43"/>
    </row>
    <row r="19" spans="2:20" ht="5.25" customHeight="1" thickBot="1" x14ac:dyDescent="0.35"/>
    <row r="20" spans="2:20" ht="5.25" customHeight="1" x14ac:dyDescent="0.3">
      <c r="B20" s="102"/>
      <c r="C20" s="103"/>
      <c r="D20" s="103"/>
      <c r="E20" s="104"/>
      <c r="F20" s="103"/>
      <c r="G20" s="103"/>
      <c r="H20" s="149"/>
      <c r="I20" s="105"/>
      <c r="J20" s="106"/>
      <c r="K20" s="89"/>
      <c r="M20" s="89"/>
      <c r="N20" s="89"/>
      <c r="O20" s="89"/>
      <c r="P20" s="89"/>
      <c r="Q20" s="89"/>
      <c r="R20" s="89"/>
      <c r="S20" s="89"/>
      <c r="T20" s="89"/>
    </row>
    <row r="21" spans="2:20" x14ac:dyDescent="0.3">
      <c r="B21" s="251" t="s">
        <v>113</v>
      </c>
      <c r="C21" s="252"/>
      <c r="D21" s="252"/>
      <c r="E21" s="252"/>
      <c r="F21" s="252"/>
      <c r="G21" s="252"/>
      <c r="H21" s="252"/>
      <c r="I21" s="252"/>
      <c r="J21" s="253"/>
      <c r="K21" s="89"/>
      <c r="L21" s="89"/>
      <c r="M21" s="89"/>
      <c r="N21" s="89"/>
      <c r="O21" s="89"/>
      <c r="P21" s="89"/>
      <c r="Q21" s="89"/>
      <c r="R21" s="89"/>
      <c r="S21" s="89"/>
      <c r="T21" s="89"/>
    </row>
    <row r="22" spans="2:20" ht="5.25" customHeight="1" thickBot="1" x14ac:dyDescent="0.35">
      <c r="B22" s="98"/>
      <c r="C22" s="107"/>
      <c r="D22" s="107"/>
      <c r="E22" s="108"/>
      <c r="F22" s="107"/>
      <c r="G22" s="107"/>
      <c r="H22" s="150"/>
      <c r="I22" s="109"/>
      <c r="J22" s="110"/>
      <c r="K22" s="89"/>
      <c r="L22" s="89"/>
      <c r="M22" s="89"/>
      <c r="N22" s="89"/>
      <c r="O22" s="89"/>
      <c r="P22" s="89"/>
      <c r="Q22" s="89"/>
      <c r="R22" s="89"/>
      <c r="S22" s="89"/>
      <c r="T22" s="89"/>
    </row>
    <row r="23" spans="2:20" ht="21" customHeight="1" thickBot="1" x14ac:dyDescent="0.35">
      <c r="B23" s="101"/>
      <c r="C23" s="151" t="s">
        <v>66</v>
      </c>
      <c r="D23" s="152"/>
      <c r="E23" s="262">
        <v>46100</v>
      </c>
      <c r="F23" s="263">
        <v>42736</v>
      </c>
      <c r="G23" s="263">
        <v>42736</v>
      </c>
      <c r="H23" s="264">
        <v>42736</v>
      </c>
      <c r="I23" s="111"/>
      <c r="J23" s="112"/>
      <c r="K23" s="89"/>
      <c r="L23" s="89"/>
      <c r="M23" s="158"/>
      <c r="N23" s="89"/>
      <c r="O23" s="89"/>
      <c r="P23" s="89"/>
      <c r="Q23" s="89"/>
      <c r="R23" s="89"/>
      <c r="S23" s="89"/>
      <c r="T23" s="89"/>
    </row>
    <row r="24" spans="2:20" ht="5.25" customHeight="1" thickBot="1" x14ac:dyDescent="0.35">
      <c r="B24" s="98"/>
      <c r="C24" s="153"/>
      <c r="D24" s="153"/>
      <c r="E24" s="248" t="s">
        <v>124</v>
      </c>
      <c r="F24" s="153"/>
      <c r="G24" s="154"/>
      <c r="H24" s="155"/>
      <c r="I24" s="109"/>
      <c r="J24" s="112"/>
      <c r="K24" s="89"/>
      <c r="L24" s="89"/>
      <c r="M24" s="89"/>
      <c r="N24" s="89"/>
      <c r="O24" s="89"/>
      <c r="P24" s="89"/>
      <c r="Q24" s="89"/>
      <c r="R24" s="89"/>
      <c r="S24" s="89"/>
      <c r="T24" s="89"/>
    </row>
    <row r="25" spans="2:20" ht="21" customHeight="1" thickBot="1" x14ac:dyDescent="0.35">
      <c r="B25" s="98"/>
      <c r="C25" s="265" t="s">
        <v>78</v>
      </c>
      <c r="D25" s="265"/>
      <c r="E25" s="265"/>
      <c r="F25" s="153"/>
      <c r="G25" s="154"/>
      <c r="H25" s="159" t="s">
        <v>76</v>
      </c>
      <c r="I25" s="109"/>
      <c r="J25" s="112"/>
      <c r="K25" s="89"/>
      <c r="L25" s="89"/>
      <c r="M25" s="89"/>
      <c r="N25" s="89"/>
      <c r="O25" s="89"/>
      <c r="P25" s="89"/>
      <c r="Q25" s="89"/>
      <c r="R25" s="89"/>
      <c r="S25" s="89"/>
      <c r="T25" s="89"/>
    </row>
    <row r="26" spans="2:20" ht="5.25" customHeight="1" thickBot="1" x14ac:dyDescent="0.35">
      <c r="B26" s="98"/>
      <c r="C26" s="153"/>
      <c r="D26" s="153"/>
      <c r="E26" s="153"/>
      <c r="F26" s="153"/>
      <c r="G26" s="154"/>
      <c r="H26" s="155"/>
      <c r="I26" s="109"/>
      <c r="J26" s="112"/>
      <c r="K26" s="89"/>
      <c r="L26" s="89"/>
      <c r="M26" s="89"/>
      <c r="N26" s="89"/>
      <c r="O26" s="89"/>
      <c r="P26" s="89"/>
      <c r="Q26" s="89"/>
      <c r="R26" s="89"/>
      <c r="S26" s="89"/>
      <c r="T26" s="89"/>
    </row>
    <row r="27" spans="2:20" ht="21" thickBot="1" x14ac:dyDescent="0.35">
      <c r="B27" s="98"/>
      <c r="C27" s="266" t="s">
        <v>67</v>
      </c>
      <c r="D27" s="266"/>
      <c r="E27" s="266"/>
      <c r="F27" s="156">
        <f>IF(H25="hábil",15,16)</f>
        <v>15</v>
      </c>
      <c r="G27" s="156"/>
      <c r="H27" s="157">
        <f>IF(Q2="Lima",(WORKDAY.INTL(E23,F27,1,'No laborables'!$B7:$B286)),(WORKDAY.INTL(E23,F27,1,'No laborables'!$C7:$C286)))</f>
        <v>46122</v>
      </c>
      <c r="I27" s="99"/>
      <c r="J27" s="100"/>
      <c r="K27" s="89"/>
      <c r="L27" s="89"/>
      <c r="M27" s="89"/>
      <c r="N27" s="89"/>
      <c r="O27" s="89"/>
      <c r="P27" s="89"/>
      <c r="Q27" s="89"/>
      <c r="R27" s="89"/>
      <c r="S27" s="89"/>
      <c r="T27" s="89"/>
    </row>
    <row r="28" spans="2:20" ht="5.25" customHeight="1" x14ac:dyDescent="0.3">
      <c r="B28" s="98"/>
      <c r="C28" s="114"/>
      <c r="D28" s="114"/>
      <c r="E28" s="114"/>
      <c r="F28" s="113"/>
      <c r="G28" s="113"/>
      <c r="H28" s="111"/>
      <c r="I28" s="99"/>
      <c r="J28" s="100"/>
      <c r="K28" s="89"/>
      <c r="L28" s="89"/>
      <c r="M28" s="89"/>
      <c r="N28" s="89"/>
      <c r="O28" s="89"/>
      <c r="P28" s="89"/>
      <c r="Q28" s="89"/>
      <c r="R28" s="89"/>
      <c r="S28" s="89"/>
      <c r="T28" s="89"/>
    </row>
    <row r="29" spans="2:20" ht="63.75" customHeight="1" thickBot="1" x14ac:dyDescent="0.35">
      <c r="B29" s="98"/>
      <c r="C29" s="261" t="s">
        <v>68</v>
      </c>
      <c r="D29" s="261"/>
      <c r="E29" s="261"/>
      <c r="F29" s="261"/>
      <c r="G29" s="261"/>
      <c r="H29" s="261"/>
      <c r="I29" s="99"/>
      <c r="J29" s="100"/>
      <c r="K29" s="89"/>
      <c r="L29" s="89"/>
      <c r="M29" s="89"/>
      <c r="N29" s="89"/>
      <c r="O29" s="89"/>
      <c r="P29" s="89"/>
      <c r="Q29" s="89"/>
      <c r="R29" s="89"/>
      <c r="S29" s="89"/>
      <c r="T29" s="89"/>
    </row>
    <row r="30" spans="2:20" s="90" customFormat="1" ht="13.15" customHeight="1" x14ac:dyDescent="0.2">
      <c r="B30" s="78"/>
      <c r="C30" s="79" t="s">
        <v>51</v>
      </c>
      <c r="D30" s="79"/>
      <c r="E30" s="80"/>
      <c r="F30" s="80"/>
      <c r="G30" s="80"/>
      <c r="H30" s="146"/>
      <c r="I30" s="81"/>
      <c r="J30" s="82"/>
      <c r="K30" s="89"/>
      <c r="L30" s="89"/>
      <c r="M30" s="89"/>
      <c r="N30" s="89"/>
      <c r="O30" s="89"/>
      <c r="P30" s="89"/>
      <c r="Q30" s="89"/>
      <c r="R30" s="89"/>
      <c r="S30" s="89"/>
      <c r="T30" s="89"/>
    </row>
    <row r="31" spans="2:20" s="90" customFormat="1" ht="13.15" customHeight="1" x14ac:dyDescent="0.2">
      <c r="B31" s="91"/>
      <c r="C31" s="92" t="s">
        <v>79</v>
      </c>
      <c r="D31" s="92"/>
      <c r="E31" s="93"/>
      <c r="F31" s="92"/>
      <c r="G31" s="92"/>
      <c r="H31" s="147"/>
      <c r="I31" s="94"/>
      <c r="J31" s="95"/>
      <c r="K31" s="89"/>
      <c r="L31" s="89"/>
      <c r="M31" s="89"/>
      <c r="N31" s="89"/>
      <c r="O31" s="89"/>
      <c r="P31" s="89"/>
      <c r="Q31" s="235"/>
      <c r="R31" s="235"/>
      <c r="S31" s="235"/>
      <c r="T31" s="235"/>
    </row>
    <row r="32" spans="2:20" s="90" customFormat="1" ht="13.15" customHeight="1" x14ac:dyDescent="0.3">
      <c r="B32" s="91"/>
      <c r="C32" s="92" t="s">
        <v>102</v>
      </c>
      <c r="D32" s="92"/>
      <c r="E32" s="93"/>
      <c r="F32" s="92"/>
      <c r="G32" s="92"/>
      <c r="H32" s="147"/>
      <c r="I32" s="94"/>
      <c r="J32" s="95"/>
      <c r="K32" s="89"/>
      <c r="L32" s="89"/>
      <c r="M32" s="89"/>
      <c r="N32" s="232"/>
      <c r="O32" s="232"/>
      <c r="P32" s="232"/>
      <c r="Q32" s="236"/>
      <c r="R32" s="237" t="s">
        <v>122</v>
      </c>
      <c r="S32" s="238"/>
      <c r="T32" s="245">
        <f ca="1">NOW()</f>
        <v>46028.407577893522</v>
      </c>
    </row>
    <row r="33" spans="2:20" ht="5.25" customHeight="1" thickBot="1" x14ac:dyDescent="0.35">
      <c r="B33" s="37"/>
      <c r="C33" s="38"/>
      <c r="D33" s="38"/>
      <c r="E33" s="39"/>
      <c r="F33" s="38"/>
      <c r="G33" s="38"/>
      <c r="H33" s="148"/>
      <c r="I33" s="40"/>
      <c r="J33" s="41"/>
      <c r="K33" s="89"/>
      <c r="L33" s="89"/>
      <c r="M33" s="89"/>
      <c r="N33" s="89"/>
      <c r="O33" s="89"/>
      <c r="P33" s="89"/>
      <c r="Q33" s="89"/>
      <c r="R33" s="89"/>
      <c r="S33" s="89"/>
      <c r="T33" s="89"/>
    </row>
    <row r="34" spans="2:20" x14ac:dyDescent="0.3">
      <c r="K34" s="89"/>
      <c r="L34" s="89"/>
      <c r="M34" s="89"/>
      <c r="N34" s="89"/>
      <c r="O34" s="89"/>
      <c r="P34" s="89"/>
      <c r="Q34" s="89"/>
      <c r="R34" s="89"/>
      <c r="S34" s="89"/>
      <c r="T34" s="89"/>
    </row>
  </sheetData>
  <mergeCells count="13">
    <mergeCell ref="C29:H29"/>
    <mergeCell ref="B21:J21"/>
    <mergeCell ref="B5:J5"/>
    <mergeCell ref="E23:H23"/>
    <mergeCell ref="C25:E25"/>
    <mergeCell ref="C27:E27"/>
    <mergeCell ref="L5:R5"/>
    <mergeCell ref="M9:N9"/>
    <mergeCell ref="M13:Q14"/>
    <mergeCell ref="C7:F7"/>
    <mergeCell ref="C13:H13"/>
    <mergeCell ref="C11:E11"/>
    <mergeCell ref="C14:H14"/>
  </mergeCells>
  <conditionalFormatting sqref="Q2">
    <cfRule type="containsText" dxfId="233" priority="119" operator="containsText" text="provincias">
      <formula>NOT(ISERROR(SEARCH("provincias",Q2)))</formula>
    </cfRule>
    <cfRule type="containsText" dxfId="232" priority="120" operator="containsText" text="Lima">
      <formula>NOT(ISERROR(SEARCH("Lima",Q2)))</formula>
    </cfRule>
    <cfRule type="containsText" dxfId="231" priority="121" operator="containsText" text="Provincias">
      <formula>NOT(ISERROR(SEARCH("Provincias",Q2)))</formula>
    </cfRule>
  </conditionalFormatting>
  <conditionalFormatting sqref="H25">
    <cfRule type="containsText" dxfId="230" priority="87" operator="containsText" text="inhábil">
      <formula>NOT(ISERROR(SEARCH("inhábil",H25)))</formula>
    </cfRule>
  </conditionalFormatting>
  <conditionalFormatting sqref="E23:H23">
    <cfRule type="cellIs" dxfId="229" priority="1" operator="equal">
      <formula>43824</formula>
    </cfRule>
    <cfRule type="cellIs" dxfId="228" priority="2" operator="equal">
      <formula>43807</formula>
    </cfRule>
    <cfRule type="cellIs" dxfId="227" priority="3" operator="equal">
      <formula>43770</formula>
    </cfRule>
    <cfRule type="cellIs" dxfId="226" priority="4" operator="equal">
      <formula>43770</formula>
    </cfRule>
    <cfRule type="cellIs" dxfId="225" priority="5" operator="equal">
      <formula>43746</formula>
    </cfRule>
    <cfRule type="cellIs" dxfId="224" priority="6" operator="equal">
      <formula>43707</formula>
    </cfRule>
    <cfRule type="cellIs" dxfId="223" priority="7" operator="equal">
      <formula>43675</formula>
    </cfRule>
    <cfRule type="cellIs" dxfId="222" priority="8" operator="equal">
      <formula>43674</formula>
    </cfRule>
    <cfRule type="cellIs" dxfId="221" priority="9" operator="equal">
      <formula>43645</formula>
    </cfRule>
    <cfRule type="cellIs" dxfId="220" priority="10" operator="equal">
      <formula>43586</formula>
    </cfRule>
    <cfRule type="cellIs" dxfId="219" priority="11" operator="equal">
      <formula>43576</formula>
    </cfRule>
    <cfRule type="cellIs" dxfId="218" priority="12" operator="equal">
      <formula>43574</formula>
    </cfRule>
    <cfRule type="cellIs" dxfId="217" priority="13" operator="equal">
      <formula>43573</formula>
    </cfRule>
    <cfRule type="cellIs" dxfId="216" priority="14" operator="equal">
      <formula>43466</formula>
    </cfRule>
    <cfRule type="cellIs" dxfId="215" priority="15" operator="equal">
      <formula>43459</formula>
    </cfRule>
    <cfRule type="cellIs" dxfId="214" priority="16" operator="equal">
      <formula>43442</formula>
    </cfRule>
    <cfRule type="cellIs" dxfId="213" priority="17" operator="equal">
      <formula>43405</formula>
    </cfRule>
    <cfRule type="cellIs" dxfId="212" priority="18" operator="equal">
      <formula>43381</formula>
    </cfRule>
    <cfRule type="cellIs" dxfId="211" priority="19" operator="equal">
      <formula>43342</formula>
    </cfRule>
    <cfRule type="cellIs" dxfId="210" priority="20" operator="equal">
      <formula>43310</formula>
    </cfRule>
    <cfRule type="cellIs" dxfId="209" priority="21" operator="equal">
      <formula>43309</formula>
    </cfRule>
    <cfRule type="cellIs" dxfId="208" priority="22" operator="equal">
      <formula>43280</formula>
    </cfRule>
    <cfRule type="cellIs" dxfId="207" priority="23" operator="equal">
      <formula>43275</formula>
    </cfRule>
    <cfRule type="cellIs" dxfId="206" priority="24" operator="equal">
      <formula>43221</formula>
    </cfRule>
    <cfRule type="cellIs" dxfId="205" priority="25" operator="equal">
      <formula>43204</formula>
    </cfRule>
    <cfRule type="cellIs" dxfId="204" priority="26" operator="equal">
      <formula>43203</formula>
    </cfRule>
    <cfRule type="cellIs" dxfId="203" priority="27" operator="equal">
      <formula>43189</formula>
    </cfRule>
    <cfRule type="cellIs" dxfId="202" priority="28" operator="equal">
      <formula>43188</formula>
    </cfRule>
    <cfRule type="cellIs" dxfId="201" priority="29" operator="equal">
      <formula>43120</formula>
    </cfRule>
    <cfRule type="cellIs" dxfId="200" priority="30" operator="equal">
      <formula>43119</formula>
    </cfRule>
    <cfRule type="cellIs" dxfId="199" priority="31" operator="equal">
      <formula>43101</formula>
    </cfRule>
    <cfRule type="cellIs" dxfId="198" priority="32" operator="equal">
      <formula>43094</formula>
    </cfRule>
    <cfRule type="cellIs" dxfId="197" priority="33" operator="equal">
      <formula>43077</formula>
    </cfRule>
    <cfRule type="cellIs" dxfId="196" priority="34" operator="equal">
      <formula>43040</formula>
    </cfRule>
    <cfRule type="cellIs" dxfId="195" priority="35" operator="equal">
      <formula>43016</formula>
    </cfRule>
    <cfRule type="cellIs" dxfId="194" priority="36" operator="equal">
      <formula>42977</formula>
    </cfRule>
    <cfRule type="cellIs" dxfId="193" priority="37" operator="equal">
      <formula>42945</formula>
    </cfRule>
    <cfRule type="cellIs" dxfId="192" priority="38" operator="equal">
      <formula>42944</formula>
    </cfRule>
    <cfRule type="cellIs" dxfId="191" priority="39" operator="equal">
      <formula>42915</formula>
    </cfRule>
    <cfRule type="cellIs" dxfId="190" priority="40" operator="equal">
      <formula>42856</formula>
    </cfRule>
    <cfRule type="cellIs" dxfId="189" priority="41" operator="equal">
      <formula>42841</formula>
    </cfRule>
    <cfRule type="cellIs" dxfId="188" priority="42" operator="equal">
      <formula>42839</formula>
    </cfRule>
    <cfRule type="cellIs" dxfId="187" priority="43" operator="equal">
      <formula>42838</formula>
    </cfRule>
    <cfRule type="cellIs" dxfId="186" priority="44" operator="equal">
      <formula>42736</formula>
    </cfRule>
    <cfRule type="cellIs" dxfId="185" priority="45" operator="equal">
      <formula>42729</formula>
    </cfRule>
    <cfRule type="cellIs" dxfId="184" priority="46" operator="equal">
      <formula>42712</formula>
    </cfRule>
    <cfRule type="cellIs" dxfId="183" priority="47" operator="equal">
      <formula>42693</formula>
    </cfRule>
    <cfRule type="cellIs" dxfId="182" priority="48" operator="equal">
      <formula>42692</formula>
    </cfRule>
    <cfRule type="cellIs" dxfId="181" priority="50" operator="equal">
      <formula>42691</formula>
    </cfRule>
    <cfRule type="cellIs" dxfId="180" priority="51" operator="equal">
      <formula>42675</formula>
    </cfRule>
    <cfRule type="cellIs" dxfId="179" priority="52" operator="equal">
      <formula>42651</formula>
    </cfRule>
    <cfRule type="cellIs" dxfId="178" priority="53" operator="equal">
      <formula>42612</formula>
    </cfRule>
    <cfRule type="cellIs" dxfId="177" priority="54" operator="equal">
      <formula>42580</formula>
    </cfRule>
    <cfRule type="cellIs" dxfId="176" priority="55" operator="equal">
      <formula>42579</formula>
    </cfRule>
    <cfRule type="cellIs" dxfId="175" priority="56" operator="equal">
      <formula>42550</formula>
    </cfRule>
    <cfRule type="cellIs" dxfId="174" priority="57" operator="equal">
      <formula>42491</formula>
    </cfRule>
    <cfRule type="cellIs" dxfId="173" priority="58" operator="equal">
      <formula>42454</formula>
    </cfRule>
    <cfRule type="cellIs" dxfId="172" priority="59" operator="equal">
      <formula>42453</formula>
    </cfRule>
    <cfRule type="cellIs" dxfId="171" priority="60" operator="equal">
      <formula>42370</formula>
    </cfRule>
    <cfRule type="cellIs" dxfId="170" priority="61" operator="equal">
      <formula>42363</formula>
    </cfRule>
    <cfRule type="cellIs" dxfId="169" priority="62" operator="equal">
      <formula>42346</formula>
    </cfRule>
    <cfRule type="cellIs" dxfId="168" priority="63" operator="equal">
      <formula>42309</formula>
    </cfRule>
    <cfRule type="cellIs" dxfId="167" priority="64" operator="equal">
      <formula>42286</formula>
    </cfRule>
    <cfRule type="cellIs" dxfId="166" priority="65" operator="equal">
      <formula>42285</formula>
    </cfRule>
    <cfRule type="cellIs" dxfId="165" priority="66" operator="equal">
      <formula>42246</formula>
    </cfRule>
    <cfRule type="cellIs" dxfId="164" priority="67" operator="equal">
      <formula>42005</formula>
    </cfRule>
  </conditionalFormatting>
  <dataValidations xWindow="503" yWindow="662" count="8">
    <dataValidation type="list" allowBlank="1" showInputMessage="1" showErrorMessage="1" sqref="N8">
      <formula1>recu</formula1>
    </dataValidation>
    <dataValidation type="list" allowBlank="1" showInputMessage="1" showErrorMessage="1" sqref="Q8 I7 I23">
      <formula1>fechas</formula1>
    </dataValidation>
    <dataValidation type="list" allowBlank="1" showInputMessage="1" showErrorMessage="1" errorTitle="Plazo para resolver" error="Plazos indicados según el Reglamento de reclamos (Resolución de Consejo Directivo N° 047-2015-CD/OSIPTEL)._x000a__x000a_Consultas o sugerencias: _x000a_Gilmer Huancas (ghuancas@osiptel.gob.pe / Tfno. 2251313 Anexo 3034)." sqref="E9">
      <formula1>tipo</formula1>
    </dataValidation>
    <dataValidation type="list" allowBlank="1" showErrorMessage="1" errorTitle="Lugar de aplicación plazos" error="Sólo puede seleccionar entre plazos aplicables para Lima o para provincias._x000a__x000a_Consultas o sugerencias: _x000a_Gilmer Huancas (ghuancas@osiptel.gob.pe / Tfno. 2251313 Anexo 3034)." sqref="Q2">
      <formula1>lugar</formula1>
    </dataValidation>
    <dataValidation type="list" allowBlank="1" showInputMessage="1" showErrorMessage="1" errorTitle="Expediente a elevar" error="Sólo se puede indicar si el expediente corresponde a un recurso de apelación o a una queja._x000a__x000a_Consultas o sugerencias: _x000a_Gilmer Huancas (ghuancas@osiptel.gob.pe / Tfno. 2251313 Anexo 3034)._x000a_" sqref="N7">
      <formula1>recu</formula1>
    </dataValidation>
    <dataValidation type="list" allowBlank="1" showInputMessage="1" showErrorMessage="1" errorTitle="Día de notificación" error="Indicar necesariamente si el día de la notificación fue hábil o inhábil._x000a__x000a_Consultas o sugerencias: _x000a_Gilmer Huancas (ghuancas@osiptel.gob.pe / Tfno. 2251313 Anexo 3034)." promptTitle="Fecha de notificación" prompt="Verificar si la notificación fue realizada en día inhábil (sábado, domingo o feriado)._x000a_Los feriados nacionales aparecerán resaltados en ROJO._x000a_Los feriados en Lima y Callao aparecerán resaltados en AMARILLO." sqref="H26">
      <formula1>habil</formula1>
    </dataValidation>
    <dataValidation allowBlank="1" showErrorMessage="1" sqref="B5:J5"/>
    <dataValidation type="list" allowBlank="1" showInputMessage="1" showErrorMessage="1" errorTitle="Día de notificación" error="Indicar necesariamente si el día de la notificación fue hábil o inhábil._x000a__x000a_Consultas o sugerencias: _x000a_Gilmer Huancas (ghuancas@osiptel.gob.pe / Tfno. 2251313 Anexo 3034)." promptTitle="Fecha de notificación" prompt="Verificar si la notificación fue realizada en día inhábil (sábado, domingo o feriado)._x000a_Los feriados nacionales aparecerán resaltados en ROJO._x000a_Los feriados en Lima y Callao aparecerán resaltados en AMARILLO. (Hasta 2019)" sqref="H25">
      <formula1>habil</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containsText" priority="88" operator="containsText" id="{A0708A1A-CBAE-4016-AD47-CFCE17B5B95A}">
            <xm:f>NOT(ISERROR(SEARCH(inhábil,H25)))</xm:f>
            <xm:f>inhábil</xm:f>
            <x14:dxf>
              <font>
                <color rgb="FF9C0006"/>
              </font>
              <fill>
                <patternFill>
                  <bgColor rgb="FFFFC7CE"/>
                </patternFill>
              </fill>
            </x14:dxf>
          </x14:cfRule>
          <xm:sqref>H25</xm:sqref>
        </x14:conditionalFormatting>
      </x14:conditionalFormattings>
    </ext>
    <ext xmlns:x14="http://schemas.microsoft.com/office/spreadsheetml/2009/9/main" uri="{CCE6A557-97BC-4b89-ADB6-D9C93CAAB3DF}">
      <x14:dataValidations xmlns:xm="http://schemas.microsoft.com/office/excel/2006/main" xWindow="503" yWindow="662" count="3">
        <x14:dataValidation type="list" allowBlank="1" showInputMessage="1" showErrorMessage="1" errorTitle="Fecha de notificación" error="Sólo puede ingresar fechas desde el 03/08/2015 hasta el 31/12/2020. _x000a__x000a_Osiptel Corazón :v" promptTitle="Revisar feriados locales" prompt="En el caso de la presentación de apelaciones en provincias:_x000a_1. Seleccionar &quot;Plazo aplicable para provincias&quot;, en el cuadro la esquina superior derecha._x000a_2. Tener en cuenta feriado de Madre de Dios (19/01/2018) y otros debidamente declarados a nivel local._x000a_">
          <x14:formula1>
            <xm:f>Data!$B$1:$B$4534</xm:f>
          </x14:formula1>
          <xm:sqref>E23:H23</xm:sqref>
        </x14:dataValidation>
        <x14:dataValidation type="list" allowBlank="1" showErrorMessage="1" errorTitle="Fecha de reclamo" error="Sólo puede ingresar fechas desde el 03/08/2015 hasta el 31/12/2020._x000a_ _x000a_°°°°°Consultas o sugerencias°°°°° _x000a__x000a_       Gilmer Huancas López_x000a_                    ||||||||_x000a_                 &lt; n_n &gt;_x000a_                       ">
          <x14:formula1>
            <xm:f>Data!$B$1:$B$4534</xm:f>
          </x14:formula1>
          <xm:sqref>Q7</xm:sqref>
        </x14:dataValidation>
        <x14:dataValidation type="list" allowBlank="1" showErrorMessage="1" errorTitle="Fecha de reclamo" error="Sólo puede ingresar fechas desde el 03/08/2015 hasta el 31/12/2020. _x000a__x000a_°°°°Consultas o sugerencias°°°° _x000a__x000a_Pregunta a tu corazón :D_x000a_">
          <x14:formula1>
            <xm:f>Data!$B$1:$B$4534</xm:f>
          </x14:formula1>
          <xm:sqref>H7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B1:T28"/>
  <sheetViews>
    <sheetView showGridLines="0" showRowColHeaders="0" tabSelected="1" workbookViewId="0">
      <pane ySplit="3" topLeftCell="A4" activePane="bottomLeft" state="frozen"/>
      <selection pane="bottomLeft" activeCell="T9" sqref="T9"/>
    </sheetView>
  </sheetViews>
  <sheetFormatPr baseColWidth="10" defaultColWidth="9.28515625" defaultRowHeight="18.75" x14ac:dyDescent="0.3"/>
  <cols>
    <col min="1" max="1" width="1.7109375" style="8" customWidth="1"/>
    <col min="2" max="2" width="0.7109375" style="8" customWidth="1"/>
    <col min="3" max="3" width="36.28515625" style="8" customWidth="1"/>
    <col min="4" max="4" width="13" style="9" customWidth="1"/>
    <col min="5" max="5" width="4.5703125" style="9" customWidth="1"/>
    <col min="6" max="6" width="5.28515625" style="8" hidden="1" customWidth="1"/>
    <col min="7" max="7" width="0.7109375" style="8" customWidth="1"/>
    <col min="8" max="8" width="14.28515625" style="10" bestFit="1" customWidth="1"/>
    <col min="9" max="9" width="21.5703125" style="10" hidden="1" customWidth="1"/>
    <col min="10" max="10" width="0.7109375" style="10" customWidth="1"/>
    <col min="11" max="11" width="1.28515625" style="10" customWidth="1"/>
    <col min="12" max="12" width="0.7109375" style="8" customWidth="1"/>
    <col min="13" max="13" width="48.7109375" style="8" customWidth="1"/>
    <col min="14" max="14" width="4.5703125" style="8" customWidth="1"/>
    <col min="15" max="15" width="5.28515625" style="8" hidden="1" customWidth="1"/>
    <col min="16" max="16" width="0.7109375" style="8" customWidth="1"/>
    <col min="17" max="17" width="14.28515625" style="8" bestFit="1" customWidth="1"/>
    <col min="18" max="18" width="9.28515625" style="8" hidden="1" customWidth="1"/>
    <col min="19" max="19" width="0.7109375" style="8" customWidth="1"/>
    <col min="20" max="20" width="15.7109375" style="8" bestFit="1" customWidth="1"/>
    <col min="21" max="16384" width="9.28515625" style="8"/>
  </cols>
  <sheetData>
    <row r="1" spans="2:19" ht="19.5" thickBot="1" x14ac:dyDescent="0.35">
      <c r="E1" s="8"/>
      <c r="G1" s="10"/>
      <c r="L1" s="10"/>
      <c r="M1" s="10"/>
    </row>
    <row r="2" spans="2:19" ht="21" thickBot="1" x14ac:dyDescent="0.35">
      <c r="E2" s="8"/>
      <c r="G2" s="10"/>
      <c r="L2" s="10"/>
      <c r="N2" s="134" t="s">
        <v>92</v>
      </c>
      <c r="Q2" s="136" t="s">
        <v>69</v>
      </c>
    </row>
    <row r="3" spans="2:19" ht="9" customHeight="1" thickBot="1" x14ac:dyDescent="0.35">
      <c r="E3" s="8"/>
      <c r="G3" s="10"/>
      <c r="L3" s="10"/>
      <c r="M3" s="10"/>
    </row>
    <row r="4" spans="2:19" ht="9.75" customHeight="1" x14ac:dyDescent="0.3">
      <c r="B4" s="61"/>
      <c r="C4" s="59"/>
      <c r="D4" s="64"/>
      <c r="E4" s="64"/>
      <c r="F4" s="59"/>
      <c r="G4" s="59"/>
      <c r="H4" s="58"/>
      <c r="I4" s="58"/>
      <c r="J4" s="65"/>
      <c r="L4" s="11"/>
      <c r="M4" s="12"/>
      <c r="N4" s="13"/>
      <c r="O4" s="12"/>
      <c r="P4" s="12"/>
      <c r="Q4" s="14"/>
      <c r="R4" s="14"/>
      <c r="S4" s="15"/>
    </row>
    <row r="5" spans="2:19" s="76" customFormat="1" ht="38.25" customHeight="1" x14ac:dyDescent="0.25">
      <c r="B5" s="272" t="s">
        <v>114</v>
      </c>
      <c r="C5" s="273"/>
      <c r="D5" s="273"/>
      <c r="E5" s="273"/>
      <c r="F5" s="273"/>
      <c r="G5" s="273"/>
      <c r="H5" s="273"/>
      <c r="I5" s="273"/>
      <c r="J5" s="274"/>
      <c r="K5" s="75"/>
      <c r="L5" s="272" t="s">
        <v>115</v>
      </c>
      <c r="M5" s="273"/>
      <c r="N5" s="273"/>
      <c r="O5" s="273"/>
      <c r="P5" s="273"/>
      <c r="Q5" s="273"/>
      <c r="R5" s="273"/>
      <c r="S5" s="274"/>
    </row>
    <row r="6" spans="2:19" ht="5.25" customHeight="1" thickBot="1" x14ac:dyDescent="0.35">
      <c r="B6" s="66"/>
      <c r="C6" s="47"/>
      <c r="D6" s="54"/>
      <c r="E6" s="54"/>
      <c r="F6" s="47"/>
      <c r="G6" s="47"/>
      <c r="H6" s="52"/>
      <c r="I6" s="52"/>
      <c r="J6" s="67"/>
      <c r="L6" s="16"/>
      <c r="M6" s="18"/>
      <c r="N6" s="17"/>
      <c r="O6" s="18"/>
      <c r="P6" s="18"/>
      <c r="Q6" s="19"/>
      <c r="R6" s="19"/>
      <c r="S6" s="20"/>
    </row>
    <row r="7" spans="2:19" s="24" customFormat="1" ht="21" thickBot="1" x14ac:dyDescent="0.35">
      <c r="B7" s="68"/>
      <c r="C7" s="278" t="s">
        <v>54</v>
      </c>
      <c r="D7" s="278"/>
      <c r="E7" s="278"/>
      <c r="F7" s="56"/>
      <c r="G7" s="69"/>
      <c r="H7" s="143">
        <v>46181</v>
      </c>
      <c r="I7" s="70"/>
      <c r="J7" s="57"/>
      <c r="K7" s="8"/>
      <c r="L7" s="21"/>
      <c r="M7" s="275" t="s">
        <v>54</v>
      </c>
      <c r="N7" s="275"/>
      <c r="O7" s="27"/>
      <c r="P7" s="22"/>
      <c r="Q7" s="143">
        <v>46315</v>
      </c>
      <c r="R7" s="23"/>
      <c r="S7" s="20"/>
    </row>
    <row r="8" spans="2:19" ht="5.25" customHeight="1" thickBot="1" x14ac:dyDescent="0.35">
      <c r="B8" s="66"/>
      <c r="C8" s="55"/>
      <c r="D8" s="55"/>
      <c r="E8" s="55"/>
      <c r="F8" s="56"/>
      <c r="G8" s="47"/>
      <c r="H8" s="52"/>
      <c r="I8" s="52"/>
      <c r="J8" s="57"/>
      <c r="L8" s="16"/>
      <c r="M8" s="25"/>
      <c r="N8" s="25"/>
      <c r="O8" s="27"/>
      <c r="P8" s="18"/>
      <c r="Q8" s="19"/>
      <c r="R8" s="19"/>
      <c r="S8" s="20"/>
    </row>
    <row r="9" spans="2:19" ht="21" thickBot="1" x14ac:dyDescent="0.35">
      <c r="B9" s="66"/>
      <c r="C9" s="74" t="s">
        <v>44</v>
      </c>
      <c r="D9" s="281" t="s">
        <v>42</v>
      </c>
      <c r="E9" s="281"/>
      <c r="F9" s="56">
        <f>IF(D9="15 días hábiles",15,25)</f>
        <v>15</v>
      </c>
      <c r="G9" s="47"/>
      <c r="H9" s="28">
        <f>IF($Q$2="Lima",(WORKDAY.INTL(H7,F9,1,'No laborables (2)'!$B7:$B298)),(WORKDAY.INTL(H7,F9,1,'No laborables (2)'!$C7:$C298)))</f>
        <v>46203</v>
      </c>
      <c r="I9" s="52"/>
      <c r="J9" s="57"/>
      <c r="L9" s="16"/>
      <c r="M9" s="276" t="s">
        <v>44</v>
      </c>
      <c r="N9" s="276"/>
      <c r="O9" s="27">
        <v>13</v>
      </c>
      <c r="P9" s="18"/>
      <c r="Q9" s="28">
        <f>IF($Q$2="Lima",(WORKDAY.INTL(Q7,O9,1,'No laborables (2)'!$B7:$B298)),(WORKDAY.INTL(Q7,O9,1,'No laborables (2)'!$C7:$C298)))</f>
        <v>46332</v>
      </c>
      <c r="R9" s="19"/>
      <c r="S9" s="20"/>
    </row>
    <row r="10" spans="2:19" ht="5.25" customHeight="1" thickBot="1" x14ac:dyDescent="0.35">
      <c r="B10" s="66"/>
      <c r="C10" s="71"/>
      <c r="D10" s="71"/>
      <c r="E10" s="71"/>
      <c r="F10" s="56"/>
      <c r="G10" s="47"/>
      <c r="H10" s="52"/>
      <c r="I10" s="52"/>
      <c r="J10" s="57"/>
      <c r="L10" s="16"/>
      <c r="M10" s="33"/>
      <c r="N10" s="33"/>
      <c r="O10" s="27"/>
      <c r="P10" s="18"/>
      <c r="Q10" s="19"/>
      <c r="R10" s="19"/>
      <c r="S10" s="20"/>
    </row>
    <row r="11" spans="2:19" s="10" customFormat="1" ht="21" thickBot="1" x14ac:dyDescent="0.35">
      <c r="B11" s="51"/>
      <c r="C11" s="282" t="s">
        <v>87</v>
      </c>
      <c r="D11" s="282"/>
      <c r="E11" s="161" t="s">
        <v>60</v>
      </c>
      <c r="F11" s="56">
        <v>120</v>
      </c>
      <c r="G11" s="56"/>
      <c r="H11" s="28">
        <f>IF(E11="SI", IF($Q$2="Lima",(WORKDAY.INTL(H9,F11,1,'No laborables (2)'!$B7:$B298)),(WORKDAY.INTL(H9,F11,1,'No laborables (2)'!$C7:$C298)))," ")</f>
        <v>46380</v>
      </c>
      <c r="I11" s="50"/>
      <c r="J11" s="57"/>
      <c r="K11" s="31"/>
      <c r="L11" s="26"/>
      <c r="M11" s="160" t="s">
        <v>87</v>
      </c>
      <c r="N11" s="161" t="s">
        <v>60</v>
      </c>
      <c r="O11" s="27">
        <v>120</v>
      </c>
      <c r="P11" s="27"/>
      <c r="Q11" s="28">
        <f>IF(N11="SI", IF($Q$2="Lima",(WORKDAY.INTL(Q9,O11,1,'No laborables (2)'!$B7:$B298)),(WORKDAY.INTL(Q9,O11,1,'No laborables (2)'!$C7:$C298)))," ")</f>
        <v>46505</v>
      </c>
      <c r="R11" s="29"/>
      <c r="S11" s="30"/>
    </row>
    <row r="12" spans="2:19" ht="5.25" customHeight="1" thickBot="1" x14ac:dyDescent="0.35">
      <c r="B12" s="66"/>
      <c r="C12" s="71"/>
      <c r="D12" s="46"/>
      <c r="E12" s="46"/>
      <c r="F12" s="56"/>
      <c r="G12" s="55"/>
      <c r="H12" s="46"/>
      <c r="I12" s="46"/>
      <c r="J12" s="72"/>
      <c r="K12" s="36"/>
      <c r="L12" s="16"/>
      <c r="M12" s="33"/>
      <c r="N12" s="34"/>
      <c r="O12" s="27"/>
      <c r="P12" s="25"/>
      <c r="Q12" s="34"/>
      <c r="R12" s="34"/>
      <c r="S12" s="35"/>
    </row>
    <row r="13" spans="2:19" ht="21" thickBot="1" x14ac:dyDescent="0.35">
      <c r="B13" s="66"/>
      <c r="C13" s="283" t="s">
        <v>62</v>
      </c>
      <c r="D13" s="283"/>
      <c r="E13" s="283"/>
      <c r="F13" s="56">
        <v>20</v>
      </c>
      <c r="G13" s="55"/>
      <c r="H13" s="28">
        <f>IF(E11="SI",IF($Q$2="Lima",(WORKDAY.INTL(H11,F13,1,'No laborables (2)'!$B7:$B298)),(WORKDAY.INTL(H11,F13,1,'No laborables (2)'!$C7:$C298))), IF($Q$2="Lima",(WORKDAY.INTL(H9,F13,1,'No laborables (2)'!$B7:$B298)),(WORKDAY.INTL(H9,F13,1,'No laborables (2)'!$C7:$C298))))</f>
        <v>46409</v>
      </c>
      <c r="I13" s="46"/>
      <c r="J13" s="72"/>
      <c r="K13" s="36"/>
      <c r="L13" s="16"/>
      <c r="M13" s="284" t="s">
        <v>62</v>
      </c>
      <c r="N13" s="284"/>
      <c r="O13" s="27">
        <v>10</v>
      </c>
      <c r="P13" s="25"/>
      <c r="Q13" s="28">
        <f>IF(N11="SI",IF($Q$2="Lima",(WORKDAY.INTL(Q11,O13,1,'No laborables (2)'!$B7:$B298)),(WORKDAY.INTL(Q11,O13,1,'No laborables (2)'!$C7:$C298))), IF($Q$2="Lima",(WORKDAY.INTL(Q9,O13,1,'No laborables (2)'!$B7:$B298)),(WORKDAY.INTL(Q9,O13,1,'No laborables (2)'!$C7:$C298))))</f>
        <v>46519</v>
      </c>
      <c r="R13" s="34"/>
      <c r="S13" s="35"/>
    </row>
    <row r="14" spans="2:19" ht="5.25" customHeight="1" x14ac:dyDescent="0.3">
      <c r="B14" s="66"/>
      <c r="C14" s="71"/>
      <c r="D14" s="46"/>
      <c r="E14" s="46"/>
      <c r="F14" s="56"/>
      <c r="G14" s="55"/>
      <c r="H14" s="46"/>
      <c r="I14" s="46"/>
      <c r="J14" s="72"/>
      <c r="K14" s="36"/>
      <c r="L14" s="16"/>
      <c r="M14" s="33"/>
      <c r="N14" s="34"/>
      <c r="O14" s="27"/>
      <c r="P14" s="25"/>
      <c r="Q14" s="34"/>
      <c r="R14" s="34"/>
      <c r="S14" s="35"/>
    </row>
    <row r="15" spans="2:19" s="128" customFormat="1" ht="39.75" customHeight="1" x14ac:dyDescent="0.2">
      <c r="B15" s="126"/>
      <c r="C15" s="279" t="s">
        <v>65</v>
      </c>
      <c r="D15" s="279"/>
      <c r="E15" s="279"/>
      <c r="F15" s="279"/>
      <c r="G15" s="279"/>
      <c r="H15" s="279"/>
      <c r="I15" s="213"/>
      <c r="J15" s="214"/>
      <c r="K15" s="215"/>
      <c r="L15" s="216"/>
      <c r="M15" s="258" t="s">
        <v>75</v>
      </c>
      <c r="N15" s="258"/>
      <c r="O15" s="258"/>
      <c r="P15" s="258"/>
      <c r="Q15" s="258"/>
      <c r="R15" s="115"/>
      <c r="S15" s="116"/>
    </row>
    <row r="16" spans="2:19" s="125" customFormat="1" ht="121.5" customHeight="1" x14ac:dyDescent="0.2">
      <c r="B16" s="129"/>
      <c r="C16" s="280" t="str">
        <f>IF(D9="03 días hábiles",I16,IF(D9="15 días hábiles",I18,I19))</f>
        <v>1. Hasta en quince (15) días hábiles, contados desde el día siguiente de recibido el recurso por el TRASU, en los reclamos por:
a. Suspensión, corte o baja injustificada del servicio, incluyendo el corte del servicio público móvil y/o bloqueo del equipo terminal móvil, por uso prohibido del servicio en estabelcimientos penitenciarios.
b. Tarjetas de pago.
c. Traslado del servicio.
d. Falta de entrefa del recibo o de la copia del recibo o de la facturación detallada solicitada por el usuario.
(...)</v>
      </c>
      <c r="D16" s="280"/>
      <c r="E16" s="280"/>
      <c r="F16" s="280"/>
      <c r="G16" s="280"/>
      <c r="H16" s="280"/>
      <c r="I16" s="217"/>
      <c r="J16" s="218"/>
      <c r="K16" s="219"/>
      <c r="L16" s="220"/>
      <c r="M16" s="258"/>
      <c r="N16" s="258"/>
      <c r="O16" s="258"/>
      <c r="P16" s="258"/>
      <c r="Q16" s="258"/>
      <c r="R16" s="130"/>
      <c r="S16" s="131"/>
    </row>
    <row r="17" spans="2:20" s="125" customFormat="1" ht="76.5" customHeight="1" thickBot="1" x14ac:dyDescent="0.25">
      <c r="B17" s="132"/>
      <c r="C17" s="277" t="s">
        <v>58</v>
      </c>
      <c r="D17" s="277"/>
      <c r="E17" s="277"/>
      <c r="F17" s="277"/>
      <c r="G17" s="277"/>
      <c r="H17" s="277"/>
      <c r="I17" s="221"/>
      <c r="J17" s="222"/>
      <c r="K17" s="219"/>
      <c r="L17" s="223"/>
      <c r="M17" s="260" t="str">
        <f>IF(N14="SI",R19," ")</f>
        <v xml:space="preserve"> </v>
      </c>
      <c r="N17" s="260"/>
      <c r="O17" s="260"/>
      <c r="P17" s="260"/>
      <c r="Q17" s="260"/>
      <c r="R17" s="119"/>
      <c r="S17" s="120"/>
    </row>
    <row r="18" spans="2:20" s="89" customFormat="1" ht="13.15" customHeight="1" x14ac:dyDescent="0.2">
      <c r="B18" s="78"/>
      <c r="C18" s="79" t="s">
        <v>51</v>
      </c>
      <c r="D18" s="80"/>
      <c r="E18" s="80"/>
      <c r="F18" s="80"/>
      <c r="G18" s="80"/>
      <c r="H18" s="80"/>
      <c r="I18" s="81" t="s">
        <v>59</v>
      </c>
      <c r="J18" s="82"/>
      <c r="K18" s="83"/>
      <c r="L18" s="78"/>
      <c r="M18" s="79" t="s">
        <v>51</v>
      </c>
      <c r="N18" s="80"/>
      <c r="O18" s="80"/>
      <c r="P18" s="80"/>
      <c r="Q18" s="80"/>
      <c r="R18" s="81"/>
      <c r="S18" s="82"/>
    </row>
    <row r="19" spans="2:20" s="90" customFormat="1" ht="13.15" customHeight="1" x14ac:dyDescent="0.2">
      <c r="B19" s="91"/>
      <c r="C19" s="92" t="s">
        <v>73</v>
      </c>
      <c r="D19" s="93"/>
      <c r="E19" s="93"/>
      <c r="F19" s="92"/>
      <c r="G19" s="92"/>
      <c r="H19" s="92"/>
      <c r="I19" s="94" t="s">
        <v>57</v>
      </c>
      <c r="J19" s="95"/>
      <c r="K19" s="83"/>
      <c r="L19" s="91"/>
      <c r="M19" s="92" t="s">
        <v>74</v>
      </c>
      <c r="N19" s="93"/>
      <c r="O19" s="92"/>
      <c r="P19" s="92"/>
      <c r="Q19" s="92"/>
      <c r="R19" s="94"/>
      <c r="S19" s="95"/>
    </row>
    <row r="20" spans="2:20" s="90" customFormat="1" ht="13.15" customHeight="1" x14ac:dyDescent="0.2">
      <c r="B20" s="91"/>
      <c r="C20" s="92" t="s">
        <v>106</v>
      </c>
      <c r="D20" s="93"/>
      <c r="E20" s="93"/>
      <c r="F20" s="92"/>
      <c r="G20" s="92"/>
      <c r="H20" s="92"/>
      <c r="I20" s="94"/>
      <c r="J20" s="95"/>
      <c r="K20" s="94"/>
      <c r="L20" s="91"/>
      <c r="M20" s="92" t="s">
        <v>107</v>
      </c>
      <c r="N20" s="93"/>
      <c r="O20" s="92"/>
      <c r="P20" s="92"/>
      <c r="Q20" s="92"/>
      <c r="R20" s="92"/>
      <c r="S20" s="95"/>
    </row>
    <row r="21" spans="2:20" s="90" customFormat="1" ht="13.15" customHeight="1" x14ac:dyDescent="0.2">
      <c r="B21" s="91"/>
      <c r="C21" s="92" t="s">
        <v>108</v>
      </c>
      <c r="D21" s="93"/>
      <c r="E21" s="93"/>
      <c r="F21" s="92"/>
      <c r="G21" s="92"/>
      <c r="H21" s="92"/>
      <c r="I21" s="94"/>
      <c r="J21" s="95"/>
      <c r="K21" s="94"/>
      <c r="L21" s="91"/>
      <c r="N21" s="93"/>
      <c r="O21" s="92"/>
      <c r="P21" s="92"/>
      <c r="Q21" s="92"/>
      <c r="R21" s="92"/>
      <c r="S21" s="95"/>
    </row>
    <row r="22" spans="2:20" ht="6" customHeight="1" thickBot="1" x14ac:dyDescent="0.35">
      <c r="B22" s="37"/>
      <c r="C22" s="38"/>
      <c r="D22" s="39"/>
      <c r="E22" s="39"/>
      <c r="F22" s="38"/>
      <c r="G22" s="38"/>
      <c r="H22" s="40"/>
      <c r="I22" s="40"/>
      <c r="J22" s="41"/>
      <c r="L22" s="37"/>
      <c r="M22" s="38"/>
      <c r="N22" s="39"/>
      <c r="O22" s="38"/>
      <c r="P22" s="38"/>
      <c r="Q22" s="40"/>
      <c r="R22" s="40"/>
      <c r="S22" s="41"/>
    </row>
    <row r="23" spans="2:20" ht="8.25" customHeight="1" x14ac:dyDescent="0.3"/>
    <row r="24" spans="2:20" ht="40.5" hidden="1" customHeight="1" x14ac:dyDescent="0.3">
      <c r="B24" s="268" t="s">
        <v>88</v>
      </c>
      <c r="C24" s="269"/>
      <c r="D24" s="269"/>
      <c r="E24" s="269"/>
      <c r="F24" s="269"/>
      <c r="G24" s="269"/>
      <c r="H24" s="269"/>
      <c r="I24" s="269"/>
      <c r="J24" s="269"/>
      <c r="K24" s="269"/>
      <c r="L24" s="269"/>
      <c r="M24" s="269"/>
      <c r="N24" s="269"/>
      <c r="O24" s="269"/>
      <c r="P24" s="269"/>
      <c r="Q24" s="269"/>
      <c r="R24" s="270"/>
      <c r="S24" s="271"/>
    </row>
    <row r="25" spans="2:20" s="212" customFormat="1" ht="53.25" customHeight="1" x14ac:dyDescent="0.3">
      <c r="B25" s="267" t="str">
        <f>IF(E11="SI",B24," ")</f>
        <v>*Ampliación del plazo de resolución en 120 días hábiles para recursos de apelación y quejas cuyo vencimiento se encuentre entre el 20 de abril al 29 de diciembre de 2017 (Resolución N°055-2017-CD/OSIPTEL).</v>
      </c>
      <c r="C25" s="267"/>
      <c r="D25" s="267"/>
      <c r="E25" s="267"/>
      <c r="F25" s="267"/>
      <c r="G25" s="267"/>
      <c r="H25" s="267"/>
      <c r="I25" s="267"/>
      <c r="J25" s="267"/>
      <c r="K25" s="211"/>
      <c r="L25" s="267" t="str">
        <f>IF(N11="SI",B24," ")</f>
        <v>*Ampliación del plazo de resolución en 120 días hábiles para recursos de apelación y quejas cuyo vencimiento se encuentre entre el 20 de abril al 29 de diciembre de 2017 (Resolución N°055-2017-CD/OSIPTEL).</v>
      </c>
      <c r="M25" s="267"/>
      <c r="N25" s="267"/>
      <c r="O25" s="267"/>
      <c r="P25" s="267"/>
      <c r="Q25" s="267"/>
      <c r="R25" s="267"/>
      <c r="S25" s="267"/>
    </row>
    <row r="26" spans="2:20" x14ac:dyDescent="0.3">
      <c r="Q26" s="236"/>
      <c r="R26" s="236"/>
      <c r="S26" s="237" t="s">
        <v>123</v>
      </c>
      <c r="T26" s="245">
        <f ca="1">NOW()</f>
        <v>46028.407577893522</v>
      </c>
    </row>
    <row r="28" spans="2:20" x14ac:dyDescent="0.3">
      <c r="H28" s="177"/>
    </row>
  </sheetData>
  <mergeCells count="17">
    <mergeCell ref="M13:N13"/>
    <mergeCell ref="M15:Q16"/>
    <mergeCell ref="B25:J25"/>
    <mergeCell ref="L25:S25"/>
    <mergeCell ref="B24:S24"/>
    <mergeCell ref="L5:S5"/>
    <mergeCell ref="M7:N7"/>
    <mergeCell ref="M9:N9"/>
    <mergeCell ref="C17:H17"/>
    <mergeCell ref="B5:J5"/>
    <mergeCell ref="C7:E7"/>
    <mergeCell ref="C15:H15"/>
    <mergeCell ref="C16:H16"/>
    <mergeCell ref="D9:E9"/>
    <mergeCell ref="M17:Q17"/>
    <mergeCell ref="C11:D11"/>
    <mergeCell ref="C13:E13"/>
  </mergeCells>
  <conditionalFormatting sqref="Q2">
    <cfRule type="containsText" dxfId="162" priority="1" operator="containsText" text="provincias">
      <formula>NOT(ISERROR(SEARCH("provincias",Q2)))</formula>
    </cfRule>
    <cfRule type="containsText" dxfId="161" priority="2" operator="containsText" text="Lima">
      <formula>NOT(ISERROR(SEARCH("Lima",Q2)))</formula>
    </cfRule>
    <cfRule type="containsText" dxfId="160" priority="3" operator="containsText" text="Provincias">
      <formula>NOT(ISERROR(SEARCH("Provincias",Q2)))</formula>
    </cfRule>
  </conditionalFormatting>
  <dataValidations xWindow="930" yWindow="273" count="5">
    <dataValidation type="list" allowBlank="1" showInputMessage="1" showErrorMessage="1" sqref="I7 R7">
      <formula1>fechas</formula1>
    </dataValidation>
    <dataValidation type="list" allowBlank="1" showErrorMessage="1" errorTitle="Lugar de aplicación de plazos" error="Sólo puede seleccionar entre plazos aplicables para Lima o para provincias._x000a__x000a_Consultas o sugerencias: _x000a_Gilmer Huancas (ghuancas@osiptel.gob.pe / Tfno. 2251313 Anexo 3034)." sqref="Q2">
      <formula1>lugar</formula1>
    </dataValidation>
    <dataValidation type="list" allowBlank="1" showInputMessage="1" showErrorMessage="1" errorTitle="Plazo para resolver" error="Plazos indicados según el Reglamento de reclamos (Resolución de Consejo Directivo N° 047-2015-CD/OSIPTEL)._x000a__x000a_Consultas o sugerencias: _x000a_Gilmer Huancas (ghuancas@osiptel.gob.pe / Tfno. 2251313 Anexo 3034)." sqref="D9:E9">
      <formula1>tipo4</formula1>
    </dataValidation>
    <dataValidation type="list" allowBlank="1" showInputMessage="1" showErrorMessage="1" errorTitle="Ampliación CD" error="Indicar SI / NO_x000a__x000a_Consultas o sugerencias: _x000a_Gilmer Huancas (ghuancas@osiptel.gob.pe / Tfno. 2251313 Anexo 3034)." sqref="N11">
      <formula1>SINO</formula1>
    </dataValidation>
    <dataValidation type="list" allowBlank="1" showInputMessage="1" showErrorMessage="1" errorTitle="Ampliación del CD" error="Indicar SI / NO_x000a__x000a_Consultas o sugerencias: _x000a_Gilmer Huancas (ghuancas@osiptel.gob.pe / Tfno. 2251313 Anexo 3034)." sqref="E11">
      <formula1>SINO</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930" yWindow="273" count="2">
        <x14:dataValidation type="list" allowBlank="1" showInputMessage="1" showErrorMessage="1" errorTitle="Fecha de inicio del expediente" error="Sólo puede ingresar fechas desde el 03/08/2015 hasta el 31/12/2020. _x000a__x000a_Consultas o sugerencias: _x000a_Gilmer Huancas ">
          <x14:formula1>
            <xm:f>Data!$B$1:$B$4534</xm:f>
          </x14:formula1>
          <xm:sqref>Q7</xm:sqref>
        </x14:dataValidation>
        <x14:dataValidation type="list" allowBlank="1" showInputMessage="1" showErrorMessage="1" errorTitle="Fecha de inicio del expediente" error="Sólo puede ingresar fechas desde el 03/08/2015 hasta el 31/12/2020. _x000a__x000a_Consultas o sugerencias: _x000a_Gilmer Huancas _x000a_(ex osiptelino :'v)">
          <x14:formula1>
            <xm:f>Data!$B$1:$B$4534</xm:f>
          </x14:formula1>
          <xm:sqref>H7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5"/>
  <sheetViews>
    <sheetView showGridLines="0" showRowColHeaders="0" workbookViewId="0">
      <pane ySplit="2" topLeftCell="A3" activePane="bottomLeft" state="frozen"/>
      <selection pane="bottomLeft" activeCell="E1" sqref="E1"/>
    </sheetView>
  </sheetViews>
  <sheetFormatPr baseColWidth="10" defaultColWidth="11.42578125" defaultRowHeight="15" x14ac:dyDescent="0.25"/>
  <cols>
    <col min="1" max="1" width="3.28515625" style="224" customWidth="1"/>
    <col min="2" max="2" width="1.28515625" style="224" customWidth="1"/>
    <col min="3" max="3" width="29.7109375" style="224" customWidth="1"/>
    <col min="4" max="4" width="1.28515625" style="224" customWidth="1"/>
    <col min="5" max="5" width="37.7109375" style="224" customWidth="1"/>
    <col min="6" max="6" width="1.28515625" style="224" customWidth="1"/>
    <col min="7" max="7" width="14.28515625" style="224" bestFit="1" customWidth="1"/>
    <col min="8" max="16384" width="11.42578125" style="224"/>
  </cols>
  <sheetData>
    <row r="1" spans="2:7" s="8" customFormat="1" ht="19.5" customHeight="1" thickBot="1" x14ac:dyDescent="0.35">
      <c r="D1" s="9"/>
    </row>
    <row r="2" spans="2:7" s="8" customFormat="1" ht="21" customHeight="1" thickBot="1" x14ac:dyDescent="0.35">
      <c r="D2" s="9"/>
      <c r="E2" s="134" t="s">
        <v>110</v>
      </c>
      <c r="G2" s="227" t="s">
        <v>69</v>
      </c>
    </row>
    <row r="3" spans="2:7" s="8" customFormat="1" ht="9" customHeight="1" thickBot="1" x14ac:dyDescent="0.35">
      <c r="D3" s="9"/>
    </row>
    <row r="4" spans="2:7" ht="5.25" customHeight="1" x14ac:dyDescent="0.3">
      <c r="B4" s="193"/>
      <c r="C4" s="194"/>
      <c r="D4" s="194"/>
      <c r="E4" s="195"/>
      <c r="F4" s="196"/>
    </row>
    <row r="5" spans="2:7" ht="18" x14ac:dyDescent="0.25">
      <c r="B5" s="286" t="s">
        <v>98</v>
      </c>
      <c r="C5" s="287"/>
      <c r="D5" s="287"/>
      <c r="E5" s="287"/>
      <c r="F5" s="288"/>
    </row>
    <row r="6" spans="2:7" ht="5.25" customHeight="1" thickBot="1" x14ac:dyDescent="0.35">
      <c r="B6" s="197"/>
      <c r="C6" s="198"/>
      <c r="D6" s="198"/>
      <c r="E6" s="199"/>
      <c r="F6" s="200"/>
    </row>
    <row r="7" spans="2:7" ht="21" thickBot="1" x14ac:dyDescent="0.35">
      <c r="B7" s="201"/>
      <c r="C7" s="190" t="s">
        <v>93</v>
      </c>
      <c r="D7" s="202"/>
      <c r="E7" s="209">
        <v>46103</v>
      </c>
      <c r="F7" s="204"/>
    </row>
    <row r="8" spans="2:7" ht="5.25" customHeight="1" thickBot="1" x14ac:dyDescent="0.35">
      <c r="B8" s="197"/>
      <c r="C8" s="228"/>
      <c r="D8" s="205"/>
      <c r="E8" s="206"/>
      <c r="F8" s="204"/>
    </row>
    <row r="9" spans="2:7" ht="19.5" thickBot="1" x14ac:dyDescent="0.35">
      <c r="B9" s="197"/>
      <c r="C9" s="231" t="s">
        <v>99</v>
      </c>
      <c r="D9" s="191"/>
      <c r="E9" s="209" t="s">
        <v>97</v>
      </c>
      <c r="F9" s="204"/>
    </row>
    <row r="10" spans="2:7" ht="5.25" customHeight="1" thickBot="1" x14ac:dyDescent="0.35">
      <c r="B10" s="197"/>
      <c r="C10" s="228"/>
      <c r="D10" s="205"/>
      <c r="E10" s="206"/>
      <c r="F10" s="204"/>
    </row>
    <row r="11" spans="2:7" ht="18" customHeight="1" thickBot="1" x14ac:dyDescent="0.35">
      <c r="B11" s="197"/>
      <c r="C11" s="192" t="s">
        <v>94</v>
      </c>
      <c r="D11" s="191"/>
      <c r="E11" s="210">
        <v>15</v>
      </c>
      <c r="F11" s="207"/>
    </row>
    <row r="12" spans="2:7" ht="5.25" customHeight="1" thickBot="1" x14ac:dyDescent="0.35">
      <c r="B12" s="197"/>
      <c r="C12" s="229"/>
      <c r="D12" s="208"/>
      <c r="E12" s="203">
        <v>30</v>
      </c>
      <c r="F12" s="207"/>
    </row>
    <row r="13" spans="2:7" ht="19.5" thickBot="1" x14ac:dyDescent="0.35">
      <c r="B13" s="197"/>
      <c r="C13" s="230" t="s">
        <v>95</v>
      </c>
      <c r="D13" s="208"/>
      <c r="E13" s="225">
        <f>IF(G2="Lima",(IF(E9="Hábiles",(WORKDAY.INTL(E7,E11,1,'No laborables (2)'!$B7:$B298)),E7+E11)),(IF(E9="Hábiles",(WORKDAY.INTL(E7,E11,1,'No laborables (2)'!$C7:$C298)),E7+E11)))</f>
        <v>46125</v>
      </c>
      <c r="F13" s="207"/>
    </row>
    <row r="14" spans="2:7" ht="5.25" customHeight="1" thickBot="1" x14ac:dyDescent="0.35">
      <c r="B14" s="197"/>
      <c r="C14" s="289"/>
      <c r="D14" s="289"/>
      <c r="E14" s="289"/>
      <c r="F14" s="207"/>
    </row>
    <row r="15" spans="2:7" x14ac:dyDescent="0.25">
      <c r="B15" s="78"/>
      <c r="C15" s="79" t="s">
        <v>51</v>
      </c>
      <c r="D15" s="79"/>
      <c r="E15" s="146"/>
      <c r="F15" s="82"/>
    </row>
    <row r="16" spans="2:7" ht="14.25" customHeight="1" x14ac:dyDescent="0.25">
      <c r="B16" s="91"/>
      <c r="C16" s="285" t="s">
        <v>100</v>
      </c>
      <c r="D16" s="285"/>
      <c r="E16" s="285"/>
      <c r="F16" s="95"/>
    </row>
    <row r="17" spans="2:9" ht="14.25" customHeight="1" x14ac:dyDescent="0.25">
      <c r="B17" s="91"/>
      <c r="C17" s="285" t="s">
        <v>101</v>
      </c>
      <c r="D17" s="285"/>
      <c r="E17" s="285"/>
      <c r="F17" s="95"/>
    </row>
    <row r="18" spans="2:9" ht="14.25" customHeight="1" x14ac:dyDescent="0.25">
      <c r="B18" s="91"/>
      <c r="C18" s="285" t="s">
        <v>111</v>
      </c>
      <c r="D18" s="285"/>
      <c r="E18" s="285"/>
      <c r="F18" s="95"/>
    </row>
    <row r="19" spans="2:9" ht="4.5" customHeight="1" thickBot="1" x14ac:dyDescent="0.35">
      <c r="B19" s="37"/>
      <c r="C19" s="38"/>
      <c r="D19" s="38"/>
      <c r="E19" s="148"/>
      <c r="F19" s="41"/>
      <c r="I19" s="224" t="s">
        <v>109</v>
      </c>
    </row>
    <row r="24" spans="2:9" x14ac:dyDescent="0.25">
      <c r="H24" s="226"/>
    </row>
    <row r="25" spans="2:9" x14ac:dyDescent="0.25">
      <c r="C25" s="285"/>
      <c r="D25" s="285"/>
      <c r="E25" s="285"/>
    </row>
  </sheetData>
  <mergeCells count="6">
    <mergeCell ref="C25:E25"/>
    <mergeCell ref="C17:E17"/>
    <mergeCell ref="C18:E18"/>
    <mergeCell ref="B5:F5"/>
    <mergeCell ref="C14:E14"/>
    <mergeCell ref="C16:E16"/>
  </mergeCells>
  <conditionalFormatting sqref="E7">
    <cfRule type="cellIs" dxfId="159" priority="288" operator="equal">
      <formula>43459</formula>
    </cfRule>
    <cfRule type="cellIs" dxfId="158" priority="289" operator="equal">
      <formula>43442</formula>
    </cfRule>
    <cfRule type="cellIs" dxfId="157" priority="290" operator="equal">
      <formula>43405</formula>
    </cfRule>
    <cfRule type="cellIs" dxfId="156" priority="291" operator="equal">
      <formula>43381</formula>
    </cfRule>
    <cfRule type="cellIs" dxfId="155" priority="292" operator="equal">
      <formula>43342</formula>
    </cfRule>
    <cfRule type="cellIs" dxfId="154" priority="293" operator="equal">
      <formula>43310</formula>
    </cfRule>
    <cfRule type="cellIs" dxfId="153" priority="294" operator="equal">
      <formula>43309</formula>
    </cfRule>
    <cfRule type="cellIs" dxfId="152" priority="295" operator="equal">
      <formula>43280</formula>
    </cfRule>
    <cfRule type="cellIs" dxfId="151" priority="296" operator="equal">
      <formula>43275</formula>
    </cfRule>
    <cfRule type="cellIs" dxfId="150" priority="297" operator="equal">
      <formula>43221</formula>
    </cfRule>
    <cfRule type="cellIs" dxfId="149" priority="298" operator="equal">
      <formula>43204</formula>
    </cfRule>
    <cfRule type="cellIs" dxfId="148" priority="299" operator="equal">
      <formula>43203</formula>
    </cfRule>
    <cfRule type="cellIs" dxfId="147" priority="300" operator="equal">
      <formula>43189</formula>
    </cfRule>
    <cfRule type="cellIs" dxfId="146" priority="301" operator="equal">
      <formula>43188</formula>
    </cfRule>
    <cfRule type="cellIs" dxfId="145" priority="302" operator="equal">
      <formula>43120</formula>
    </cfRule>
    <cfRule type="cellIs" dxfId="144" priority="303" operator="equal">
      <formula>43119</formula>
    </cfRule>
    <cfRule type="cellIs" dxfId="143" priority="304" operator="equal">
      <formula>43101</formula>
    </cfRule>
    <cfRule type="cellIs" dxfId="142" priority="305" operator="equal">
      <formula>43094</formula>
    </cfRule>
    <cfRule type="cellIs" dxfId="141" priority="306" operator="equal">
      <formula>43077</formula>
    </cfRule>
    <cfRule type="cellIs" dxfId="140" priority="307" operator="equal">
      <formula>43040</formula>
    </cfRule>
    <cfRule type="cellIs" dxfId="139" priority="308" operator="equal">
      <formula>43016</formula>
    </cfRule>
    <cfRule type="cellIs" dxfId="138" priority="309" operator="equal">
      <formula>42977</formula>
    </cfRule>
    <cfRule type="cellIs" dxfId="137" priority="310" operator="equal">
      <formula>42945</formula>
    </cfRule>
    <cfRule type="cellIs" dxfId="136" priority="311" operator="equal">
      <formula>42944</formula>
    </cfRule>
    <cfRule type="cellIs" dxfId="135" priority="312" operator="equal">
      <formula>42915</formula>
    </cfRule>
    <cfRule type="cellIs" dxfId="134" priority="313" operator="equal">
      <formula>42856</formula>
    </cfRule>
    <cfRule type="cellIs" dxfId="133" priority="314" operator="equal">
      <formula>42841</formula>
    </cfRule>
    <cfRule type="cellIs" dxfId="132" priority="315" operator="equal">
      <formula>42839</formula>
    </cfRule>
    <cfRule type="cellIs" dxfId="131" priority="316" operator="equal">
      <formula>42838</formula>
    </cfRule>
    <cfRule type="cellIs" dxfId="130" priority="317" operator="equal">
      <formula>42736</formula>
    </cfRule>
    <cfRule type="cellIs" dxfId="129" priority="318" operator="equal">
      <formula>42729</formula>
    </cfRule>
    <cfRule type="cellIs" dxfId="128" priority="319" operator="equal">
      <formula>42712</formula>
    </cfRule>
    <cfRule type="cellIs" dxfId="127" priority="320" operator="equal">
      <formula>42693</formula>
    </cfRule>
    <cfRule type="cellIs" dxfId="126" priority="321" operator="equal">
      <formula>42692</formula>
    </cfRule>
    <cfRule type="cellIs" dxfId="125" priority="322" operator="equal">
      <formula>42691</formula>
    </cfRule>
    <cfRule type="cellIs" dxfId="124" priority="323" operator="equal">
      <formula>42675</formula>
    </cfRule>
    <cfRule type="cellIs" dxfId="123" priority="324" operator="equal">
      <formula>42651</formula>
    </cfRule>
    <cfRule type="cellIs" dxfId="122" priority="325" operator="equal">
      <formula>42612</formula>
    </cfRule>
    <cfRule type="cellIs" dxfId="121" priority="326" operator="equal">
      <formula>42580</formula>
    </cfRule>
    <cfRule type="cellIs" dxfId="120" priority="327" operator="equal">
      <formula>42579</formula>
    </cfRule>
    <cfRule type="cellIs" dxfId="119" priority="328" operator="equal">
      <formula>42550</formula>
    </cfRule>
    <cfRule type="cellIs" dxfId="118" priority="329" operator="equal">
      <formula>42491</formula>
    </cfRule>
    <cfRule type="cellIs" dxfId="117" priority="330" operator="equal">
      <formula>42454</formula>
    </cfRule>
    <cfRule type="cellIs" dxfId="116" priority="331" operator="equal">
      <formula>42453</formula>
    </cfRule>
    <cfRule type="cellIs" dxfId="115" priority="332" operator="equal">
      <formula>42370</formula>
    </cfRule>
    <cfRule type="cellIs" dxfId="114" priority="333" operator="equal">
      <formula>42363</formula>
    </cfRule>
    <cfRule type="cellIs" dxfId="113" priority="334" operator="equal">
      <formula>42346</formula>
    </cfRule>
    <cfRule type="cellIs" dxfId="112" priority="335" operator="equal">
      <formula>42309</formula>
    </cfRule>
    <cfRule type="cellIs" dxfId="111" priority="336" operator="equal">
      <formula>42286</formula>
    </cfRule>
    <cfRule type="cellIs" dxfId="110" priority="337" operator="equal">
      <formula>42285</formula>
    </cfRule>
    <cfRule type="cellIs" dxfId="109" priority="338" operator="equal">
      <formula>42246</formula>
    </cfRule>
    <cfRule type="cellIs" dxfId="108" priority="339" operator="equal">
      <formula>42005</formula>
    </cfRule>
  </conditionalFormatting>
  <conditionalFormatting sqref="E11">
    <cfRule type="cellIs" dxfId="107" priority="68" operator="equal">
      <formula>43459</formula>
    </cfRule>
    <cfRule type="cellIs" dxfId="106" priority="69" operator="equal">
      <formula>43442</formula>
    </cfRule>
    <cfRule type="cellIs" dxfId="105" priority="70" operator="equal">
      <formula>43405</formula>
    </cfRule>
    <cfRule type="cellIs" dxfId="104" priority="71" operator="equal">
      <formula>43381</formula>
    </cfRule>
    <cfRule type="cellIs" dxfId="103" priority="72" operator="equal">
      <formula>43342</formula>
    </cfRule>
    <cfRule type="cellIs" dxfId="102" priority="73" operator="equal">
      <formula>43310</formula>
    </cfRule>
    <cfRule type="cellIs" dxfId="101" priority="74" operator="equal">
      <formula>43309</formula>
    </cfRule>
    <cfRule type="cellIs" dxfId="100" priority="75" operator="equal">
      <formula>43280</formula>
    </cfRule>
    <cfRule type="cellIs" dxfId="99" priority="76" operator="equal">
      <formula>43275</formula>
    </cfRule>
    <cfRule type="cellIs" dxfId="98" priority="77" operator="equal">
      <formula>43221</formula>
    </cfRule>
    <cfRule type="cellIs" dxfId="97" priority="78" operator="equal">
      <formula>43204</formula>
    </cfRule>
    <cfRule type="cellIs" dxfId="96" priority="79" operator="equal">
      <formula>43203</formula>
    </cfRule>
    <cfRule type="cellIs" dxfId="95" priority="80" operator="equal">
      <formula>43189</formula>
    </cfRule>
    <cfRule type="cellIs" dxfId="94" priority="81" operator="equal">
      <formula>43188</formula>
    </cfRule>
    <cfRule type="cellIs" dxfId="93" priority="82" operator="equal">
      <formula>43120</formula>
    </cfRule>
    <cfRule type="cellIs" dxfId="92" priority="83" operator="equal">
      <formula>43119</formula>
    </cfRule>
    <cfRule type="cellIs" dxfId="91" priority="84" operator="equal">
      <formula>43101</formula>
    </cfRule>
    <cfRule type="cellIs" dxfId="90" priority="85" operator="equal">
      <formula>43094</formula>
    </cfRule>
    <cfRule type="cellIs" dxfId="89" priority="86" operator="equal">
      <formula>43077</formula>
    </cfRule>
    <cfRule type="cellIs" dxfId="88" priority="87" operator="equal">
      <formula>43040</formula>
    </cfRule>
    <cfRule type="cellIs" dxfId="87" priority="88" operator="equal">
      <formula>43016</formula>
    </cfRule>
    <cfRule type="cellIs" dxfId="86" priority="89" operator="equal">
      <formula>42977</formula>
    </cfRule>
    <cfRule type="cellIs" dxfId="85" priority="90" operator="equal">
      <formula>42945</formula>
    </cfRule>
    <cfRule type="cellIs" dxfId="84" priority="91" operator="equal">
      <formula>42944</formula>
    </cfRule>
    <cfRule type="cellIs" dxfId="83" priority="92" operator="equal">
      <formula>42915</formula>
    </cfRule>
    <cfRule type="cellIs" dxfId="82" priority="93" operator="equal">
      <formula>42856</formula>
    </cfRule>
    <cfRule type="cellIs" dxfId="81" priority="94" operator="equal">
      <formula>42841</formula>
    </cfRule>
    <cfRule type="cellIs" dxfId="80" priority="95" operator="equal">
      <formula>42839</formula>
    </cfRule>
    <cfRule type="cellIs" dxfId="79" priority="96" operator="equal">
      <formula>42838</formula>
    </cfRule>
    <cfRule type="cellIs" dxfId="78" priority="97" operator="equal">
      <formula>42736</formula>
    </cfRule>
    <cfRule type="cellIs" dxfId="77" priority="98" operator="equal">
      <formula>42729</formula>
    </cfRule>
    <cfRule type="cellIs" dxfId="76" priority="99" operator="equal">
      <formula>42712</formula>
    </cfRule>
    <cfRule type="cellIs" dxfId="75" priority="100" operator="equal">
      <formula>42693</formula>
    </cfRule>
    <cfRule type="cellIs" dxfId="74" priority="101" operator="equal">
      <formula>42692</formula>
    </cfRule>
    <cfRule type="cellIs" dxfId="73" priority="102" operator="equal">
      <formula>42691</formula>
    </cfRule>
    <cfRule type="cellIs" dxfId="72" priority="103" operator="equal">
      <formula>42675</formula>
    </cfRule>
    <cfRule type="cellIs" dxfId="71" priority="104" operator="equal">
      <formula>42651</formula>
    </cfRule>
    <cfRule type="cellIs" dxfId="70" priority="105" operator="equal">
      <formula>42612</formula>
    </cfRule>
    <cfRule type="cellIs" dxfId="69" priority="106" operator="equal">
      <formula>42580</formula>
    </cfRule>
    <cfRule type="cellIs" dxfId="68" priority="107" operator="equal">
      <formula>42579</formula>
    </cfRule>
    <cfRule type="cellIs" dxfId="67" priority="108" operator="equal">
      <formula>42550</formula>
    </cfRule>
    <cfRule type="cellIs" dxfId="66" priority="109" operator="equal">
      <formula>42491</formula>
    </cfRule>
    <cfRule type="cellIs" dxfId="65" priority="110" operator="equal">
      <formula>42454</formula>
    </cfRule>
    <cfRule type="cellIs" dxfId="64" priority="111" operator="equal">
      <formula>42453</formula>
    </cfRule>
    <cfRule type="cellIs" dxfId="63" priority="112" operator="equal">
      <formula>42370</formula>
    </cfRule>
    <cfRule type="cellIs" dxfId="62" priority="113" operator="equal">
      <formula>42363</formula>
    </cfRule>
    <cfRule type="cellIs" dxfId="61" priority="114" operator="equal">
      <formula>42346</formula>
    </cfRule>
    <cfRule type="cellIs" dxfId="60" priority="115" operator="equal">
      <formula>42309</formula>
    </cfRule>
    <cfRule type="cellIs" dxfId="59" priority="116" operator="equal">
      <formula>42286</formula>
    </cfRule>
    <cfRule type="cellIs" dxfId="58" priority="117" operator="equal">
      <formula>42285</formula>
    </cfRule>
    <cfRule type="cellIs" dxfId="57" priority="118" operator="equal">
      <formula>42246</formula>
    </cfRule>
    <cfRule type="cellIs" dxfId="56" priority="119" operator="equal">
      <formula>42005</formula>
    </cfRule>
  </conditionalFormatting>
  <conditionalFormatting sqref="E13">
    <cfRule type="cellIs" dxfId="55" priority="7" operator="equal">
      <formula>43459</formula>
    </cfRule>
    <cfRule type="cellIs" dxfId="54" priority="8" operator="equal">
      <formula>43442</formula>
    </cfRule>
    <cfRule type="cellIs" dxfId="53" priority="9" operator="equal">
      <formula>43405</formula>
    </cfRule>
    <cfRule type="cellIs" dxfId="52" priority="10" operator="equal">
      <formula>43381</formula>
    </cfRule>
    <cfRule type="cellIs" dxfId="51" priority="11" operator="equal">
      <formula>43342</formula>
    </cfRule>
    <cfRule type="cellIs" dxfId="50" priority="12" operator="equal">
      <formula>43310</formula>
    </cfRule>
    <cfRule type="cellIs" dxfId="49" priority="13" operator="equal">
      <formula>43309</formula>
    </cfRule>
    <cfRule type="cellIs" dxfId="48" priority="14" operator="equal">
      <formula>43280</formula>
    </cfRule>
    <cfRule type="cellIs" dxfId="47" priority="15" operator="equal">
      <formula>43275</formula>
    </cfRule>
    <cfRule type="cellIs" dxfId="46" priority="16" operator="equal">
      <formula>43221</formula>
    </cfRule>
    <cfRule type="cellIs" dxfId="45" priority="17" operator="equal">
      <formula>43204</formula>
    </cfRule>
    <cfRule type="cellIs" dxfId="44" priority="18" operator="equal">
      <formula>43203</formula>
    </cfRule>
    <cfRule type="cellIs" dxfId="43" priority="19" operator="equal">
      <formula>43189</formula>
    </cfRule>
    <cfRule type="cellIs" dxfId="42" priority="20" operator="equal">
      <formula>43188</formula>
    </cfRule>
    <cfRule type="cellIs" dxfId="41" priority="21" operator="equal">
      <formula>43120</formula>
    </cfRule>
    <cfRule type="cellIs" dxfId="40" priority="22" operator="equal">
      <formula>43119</formula>
    </cfRule>
    <cfRule type="cellIs" dxfId="39" priority="23" operator="equal">
      <formula>43101</formula>
    </cfRule>
    <cfRule type="cellIs" dxfId="38" priority="24" operator="equal">
      <formula>43094</formula>
    </cfRule>
    <cfRule type="cellIs" dxfId="37" priority="25" operator="equal">
      <formula>43077</formula>
    </cfRule>
    <cfRule type="cellIs" dxfId="36" priority="26" operator="equal">
      <formula>43040</formula>
    </cfRule>
    <cfRule type="cellIs" dxfId="35" priority="27" operator="equal">
      <formula>43016</formula>
    </cfRule>
    <cfRule type="cellIs" dxfId="34" priority="28" operator="equal">
      <formula>42977</formula>
    </cfRule>
    <cfRule type="cellIs" dxfId="33" priority="29" operator="equal">
      <formula>42945</formula>
    </cfRule>
    <cfRule type="cellIs" dxfId="32" priority="30" operator="equal">
      <formula>42944</formula>
    </cfRule>
    <cfRule type="cellIs" dxfId="31" priority="31" operator="equal">
      <formula>42915</formula>
    </cfRule>
    <cfRule type="cellIs" dxfId="30" priority="32" operator="equal">
      <formula>42856</formula>
    </cfRule>
    <cfRule type="cellIs" dxfId="29" priority="33" operator="equal">
      <formula>42841</formula>
    </cfRule>
    <cfRule type="cellIs" dxfId="28" priority="34" operator="equal">
      <formula>42839</formula>
    </cfRule>
    <cfRule type="cellIs" dxfId="27" priority="35" operator="equal">
      <formula>42838</formula>
    </cfRule>
    <cfRule type="cellIs" dxfId="26" priority="36" operator="equal">
      <formula>42736</formula>
    </cfRule>
    <cfRule type="cellIs" dxfId="25" priority="37" operator="equal">
      <formula>42729</formula>
    </cfRule>
    <cfRule type="cellIs" dxfId="24" priority="38" operator="equal">
      <formula>42712</formula>
    </cfRule>
    <cfRule type="cellIs" dxfId="23" priority="39" operator="equal">
      <formula>42693</formula>
    </cfRule>
    <cfRule type="cellIs" dxfId="22" priority="40" operator="equal">
      <formula>42692</formula>
    </cfRule>
    <cfRule type="cellIs" dxfId="21" priority="41" operator="equal">
      <formula>42691</formula>
    </cfRule>
    <cfRule type="cellIs" dxfId="20" priority="42" operator="equal">
      <formula>42675</formula>
    </cfRule>
    <cfRule type="cellIs" dxfId="19" priority="43" operator="equal">
      <formula>42651</formula>
    </cfRule>
    <cfRule type="cellIs" dxfId="18" priority="44" operator="equal">
      <formula>42612</formula>
    </cfRule>
    <cfRule type="cellIs" dxfId="17" priority="45" operator="equal">
      <formula>42580</formula>
    </cfRule>
    <cfRule type="cellIs" dxfId="16" priority="46" operator="equal">
      <formula>42579</formula>
    </cfRule>
    <cfRule type="cellIs" dxfId="15" priority="47" operator="equal">
      <formula>42550</formula>
    </cfRule>
    <cfRule type="cellIs" dxfId="14" priority="48" operator="equal">
      <formula>42491</formula>
    </cfRule>
    <cfRule type="cellIs" dxfId="13" priority="49" operator="equal">
      <formula>42454</formula>
    </cfRule>
    <cfRule type="cellIs" dxfId="12" priority="50" operator="equal">
      <formula>42453</formula>
    </cfRule>
    <cfRule type="cellIs" dxfId="11" priority="51" operator="equal">
      <formula>42370</formula>
    </cfRule>
    <cfRule type="cellIs" dxfId="10" priority="52" operator="equal">
      <formula>42363</formula>
    </cfRule>
    <cfRule type="cellIs" dxfId="9" priority="53" operator="equal">
      <formula>42346</formula>
    </cfRule>
    <cfRule type="cellIs" dxfId="8" priority="54" operator="equal">
      <formula>42309</formula>
    </cfRule>
    <cfRule type="cellIs" dxfId="7" priority="55" operator="equal">
      <formula>42286</formula>
    </cfRule>
    <cfRule type="cellIs" dxfId="6" priority="56" operator="equal">
      <formula>42285</formula>
    </cfRule>
    <cfRule type="cellIs" dxfId="5" priority="57" operator="equal">
      <formula>42246</formula>
    </cfRule>
    <cfRule type="cellIs" dxfId="4" priority="58" operator="equal">
      <formula>42005</formula>
    </cfRule>
  </conditionalFormatting>
  <conditionalFormatting sqref="E9">
    <cfRule type="cellIs" dxfId="3" priority="5" operator="equal">
      <formula>"Calendario"</formula>
    </cfRule>
    <cfRule type="cellIs" dxfId="2" priority="6" operator="equal">
      <formula>"Hábiles"</formula>
    </cfRule>
  </conditionalFormatting>
  <conditionalFormatting sqref="G2">
    <cfRule type="cellIs" dxfId="1" priority="3" operator="equal">
      <formula>"provincias"</formula>
    </cfRule>
    <cfRule type="cellIs" dxfId="0" priority="4" operator="equal">
      <formula>"Lima"</formula>
    </cfRule>
  </conditionalFormatting>
  <dataValidations xWindow="500" yWindow="364" count="5">
    <dataValidation type="list" allowBlank="1" showInputMessage="1" showErrorMessage="1" errorTitle="Día de notificación" error="Indicar necesariamente si el día de la notificación fue hábil o inhábil._x000a__x000a_Consultas o sugerencias: _x000a_Gilmer Huancas (ghuancas@osiptel.gob.pe / Tfno. 2251313 Anexo 3034)." promptTitle="Fecha de notificación" prompt="Verificar si la notificación fue realizada en día inhábil (sábado, domingo o feriado)._x000a_Los feriados nacionales aparecerán resaltados en ROJO._x000a_Los feriados en Lima y Callao aparecerán resaltados en AMARILLO." sqref="E10">
      <formula1>habil</formula1>
    </dataValidation>
    <dataValidation type="list" allowBlank="1" showInputMessage="1" showErrorMessage="1" error="Sólo puede seleccionar entre días Hábiles o calendario._x000a__x000a_Consultas o sugerencias: _x000a_Gilmer Huancas (ghuancas@osiptel.gob.pe / Tfno. 2251313 Anexo 3034)." sqref="E9">
      <formula1>TIPODIA</formula1>
    </dataValidation>
    <dataValidation type="list" allowBlank="1" showErrorMessage="1" errorTitle="Lugar de aplicación de plazos" error="Sólo puede seleccionar entre plazos aplicables para Lima o para provincias._x000a__x000a_Consultas o sugerencias: _x000a_Gilmer Huancas (ghuancas@osiptel.gob.pe / Tfno. 2251313 Anexo 3034)." sqref="G2">
      <formula1>lugar</formula1>
    </dataValidation>
    <dataValidation allowBlank="1" showInputMessage="1" showErrorMessage="1" prompt="Los días hábiles están considerados sólo hasta el 31/12/2019._x000a_" sqref="E13"/>
    <dataValidation type="list" allowBlank="1" showInputMessage="1" showErrorMessage="1" errorTitle="Ingresar cantidad de días" error="Ingresar solo cifras del 0 al 720._x000a__x000a_Consultas o sugerencias: _x000a_Gilmer Huancas (ghuancas@osiptel.gob.pe / Tfno. 2251313 Anexo 3034)." sqref="E11">
      <formula1>diascal</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500" yWindow="364" count="1">
        <x14:dataValidation type="list" allowBlank="1" showInputMessage="1" showErrorMessage="1" errorTitle="Fecha de notificación" error="Sólo puede ingresar fechas desde el 03/08/2015 hasta el 31/12/2020. _x000a__x000a_Consultas o sugerencias: _x000a_Gilmer Huancas (YA NO :v)">
          <x14:formula1>
            <xm:f>Data!$B$1:$B$4534</xm:f>
          </x14:formula1>
          <xm:sqref>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86"/>
  <sheetViews>
    <sheetView showGridLines="0" workbookViewId="0">
      <pane ySplit="6" topLeftCell="A271" activePane="bottomLeft" state="frozen"/>
      <selection pane="bottomLeft" activeCell="B7" sqref="B7:B286"/>
    </sheetView>
  </sheetViews>
  <sheetFormatPr baseColWidth="10" defaultRowHeight="15" x14ac:dyDescent="0.25"/>
  <cols>
    <col min="1" max="1" width="1.7109375" customWidth="1"/>
    <col min="2" max="2" width="25.7109375" style="73" bestFit="1" customWidth="1"/>
    <col min="3" max="3" width="25.7109375" bestFit="1" customWidth="1"/>
    <col min="4" max="5" width="25.7109375" customWidth="1"/>
    <col min="6" max="6" width="30.28515625" customWidth="1"/>
  </cols>
  <sheetData>
    <row r="1" spans="2:6" ht="15.75" x14ac:dyDescent="0.25">
      <c r="B1" s="175" t="s">
        <v>84</v>
      </c>
    </row>
    <row r="2" spans="2:6" ht="6" customHeight="1" x14ac:dyDescent="0.25">
      <c r="B2" s="175"/>
    </row>
    <row r="3" spans="2:6" ht="18" x14ac:dyDescent="0.25">
      <c r="B3" s="176" t="s">
        <v>118</v>
      </c>
    </row>
    <row r="4" spans="2:6" ht="18" x14ac:dyDescent="0.25">
      <c r="B4" s="176" t="s">
        <v>119</v>
      </c>
    </row>
    <row r="5" spans="2:6" ht="4.5" customHeight="1" thickBot="1" x14ac:dyDescent="0.3"/>
    <row r="6" spans="2:6" ht="15.75" thickBot="1" x14ac:dyDescent="0.3">
      <c r="B6" s="167" t="s">
        <v>116</v>
      </c>
      <c r="C6" s="166" t="s">
        <v>117</v>
      </c>
      <c r="D6" s="185" t="s">
        <v>89</v>
      </c>
      <c r="E6" s="185" t="s">
        <v>90</v>
      </c>
      <c r="F6" s="187" t="s">
        <v>91</v>
      </c>
    </row>
    <row r="7" spans="2:6" x14ac:dyDescent="0.25">
      <c r="B7" s="162">
        <v>42005</v>
      </c>
      <c r="C7" s="162">
        <v>42005</v>
      </c>
      <c r="D7" s="162">
        <v>42005</v>
      </c>
      <c r="E7" s="162">
        <v>42005</v>
      </c>
      <c r="F7" s="162">
        <v>42005</v>
      </c>
    </row>
    <row r="8" spans="2:6" x14ac:dyDescent="0.25">
      <c r="B8" s="163">
        <v>42006</v>
      </c>
      <c r="C8" s="163">
        <v>42006</v>
      </c>
      <c r="D8" s="163">
        <v>42006</v>
      </c>
      <c r="E8" s="163">
        <v>42006</v>
      </c>
      <c r="F8" s="163">
        <v>42006</v>
      </c>
    </row>
    <row r="9" spans="2:6" x14ac:dyDescent="0.25">
      <c r="B9" s="163">
        <v>42096</v>
      </c>
      <c r="C9" s="163">
        <v>42096</v>
      </c>
      <c r="D9" s="163">
        <v>42096</v>
      </c>
      <c r="E9" s="163">
        <v>42096</v>
      </c>
      <c r="F9" s="163">
        <v>42096</v>
      </c>
    </row>
    <row r="10" spans="2:6" x14ac:dyDescent="0.25">
      <c r="B10" s="163">
        <v>42097</v>
      </c>
      <c r="C10" s="163">
        <v>42097</v>
      </c>
      <c r="D10" s="163">
        <v>42097</v>
      </c>
      <c r="E10" s="163">
        <v>42097</v>
      </c>
      <c r="F10" s="163">
        <v>42097</v>
      </c>
    </row>
    <row r="11" spans="2:6" x14ac:dyDescent="0.25">
      <c r="B11" s="163">
        <v>42125</v>
      </c>
      <c r="C11" s="163">
        <v>42125</v>
      </c>
      <c r="D11" s="163">
        <v>42125</v>
      </c>
      <c r="E11" s="163">
        <v>42125</v>
      </c>
      <c r="F11" s="163">
        <v>42125</v>
      </c>
    </row>
    <row r="12" spans="2:6" x14ac:dyDescent="0.25">
      <c r="B12" s="163">
        <v>42184</v>
      </c>
      <c r="C12" s="163">
        <v>42184</v>
      </c>
      <c r="D12" s="163">
        <v>42184</v>
      </c>
      <c r="E12" s="163">
        <v>42184</v>
      </c>
      <c r="F12" s="163">
        <v>42184</v>
      </c>
    </row>
    <row r="13" spans="2:6" x14ac:dyDescent="0.25">
      <c r="B13" s="163">
        <v>42213</v>
      </c>
      <c r="C13" s="163">
        <v>42213</v>
      </c>
      <c r="D13" s="163">
        <v>42213</v>
      </c>
      <c r="E13" s="163">
        <v>42213</v>
      </c>
      <c r="F13" s="163">
        <v>42213</v>
      </c>
    </row>
    <row r="14" spans="2:6" x14ac:dyDescent="0.25">
      <c r="B14" s="163">
        <v>42214</v>
      </c>
      <c r="C14" s="163">
        <v>42214</v>
      </c>
      <c r="D14" s="163">
        <v>42214</v>
      </c>
      <c r="E14" s="163">
        <v>42214</v>
      </c>
      <c r="F14" s="163">
        <v>42214</v>
      </c>
    </row>
    <row r="15" spans="2:6" x14ac:dyDescent="0.25">
      <c r="B15" s="163">
        <v>42246</v>
      </c>
      <c r="C15" s="163">
        <v>42246</v>
      </c>
      <c r="D15" s="163">
        <v>42246</v>
      </c>
      <c r="E15" s="163">
        <v>42246</v>
      </c>
      <c r="F15" s="163">
        <v>42246</v>
      </c>
    </row>
    <row r="16" spans="2:6" x14ac:dyDescent="0.25">
      <c r="B16" s="163">
        <v>42285</v>
      </c>
      <c r="C16" s="163">
        <v>42285</v>
      </c>
      <c r="D16" s="163">
        <v>42285</v>
      </c>
      <c r="E16" s="163">
        <v>42285</v>
      </c>
      <c r="F16" s="163">
        <v>42285</v>
      </c>
    </row>
    <row r="17" spans="2:6" x14ac:dyDescent="0.25">
      <c r="B17" s="164">
        <v>42286</v>
      </c>
      <c r="C17" s="178"/>
      <c r="D17" s="178"/>
      <c r="E17" s="178"/>
      <c r="F17" s="164">
        <v>42286</v>
      </c>
    </row>
    <row r="18" spans="2:6" x14ac:dyDescent="0.25">
      <c r="B18" s="163">
        <v>42309</v>
      </c>
      <c r="C18" s="163">
        <v>42309</v>
      </c>
      <c r="D18" s="163">
        <v>42309</v>
      </c>
      <c r="E18" s="163">
        <v>42309</v>
      </c>
      <c r="F18" s="163">
        <v>42309</v>
      </c>
    </row>
    <row r="19" spans="2:6" x14ac:dyDescent="0.25">
      <c r="B19" s="163">
        <v>42346</v>
      </c>
      <c r="C19" s="163">
        <v>42346</v>
      </c>
      <c r="D19" s="163">
        <v>42346</v>
      </c>
      <c r="E19" s="163">
        <v>42346</v>
      </c>
      <c r="F19" s="163">
        <v>42346</v>
      </c>
    </row>
    <row r="20" spans="2:6" ht="15.75" thickBot="1" x14ac:dyDescent="0.3">
      <c r="B20" s="165">
        <v>42363</v>
      </c>
      <c r="C20" s="165">
        <v>42363</v>
      </c>
      <c r="D20" s="165">
        <v>42363</v>
      </c>
      <c r="E20" s="165">
        <v>42363</v>
      </c>
      <c r="F20" s="165">
        <v>42363</v>
      </c>
    </row>
    <row r="21" spans="2:6" x14ac:dyDescent="0.25">
      <c r="B21" s="162">
        <v>42370</v>
      </c>
      <c r="C21" s="162">
        <v>42370</v>
      </c>
      <c r="D21" s="162">
        <v>42370</v>
      </c>
      <c r="E21" s="162">
        <v>42370</v>
      </c>
      <c r="F21" s="162">
        <v>42370</v>
      </c>
    </row>
    <row r="22" spans="2:6" x14ac:dyDescent="0.25">
      <c r="B22" s="163">
        <v>42453</v>
      </c>
      <c r="C22" s="163">
        <v>42453</v>
      </c>
      <c r="D22" s="163">
        <v>42453</v>
      </c>
      <c r="E22" s="163">
        <v>42453</v>
      </c>
      <c r="F22" s="163">
        <v>42453</v>
      </c>
    </row>
    <row r="23" spans="2:6" x14ac:dyDescent="0.25">
      <c r="B23" s="163">
        <v>42454</v>
      </c>
      <c r="C23" s="163">
        <v>42454</v>
      </c>
      <c r="D23" s="163">
        <v>42454</v>
      </c>
      <c r="E23" s="163">
        <v>42454</v>
      </c>
      <c r="F23" s="163">
        <v>42454</v>
      </c>
    </row>
    <row r="24" spans="2:6" x14ac:dyDescent="0.25">
      <c r="B24" s="163">
        <v>42491</v>
      </c>
      <c r="C24" s="163">
        <v>42491</v>
      </c>
      <c r="D24" s="163">
        <v>42491</v>
      </c>
      <c r="E24" s="163">
        <v>42491</v>
      </c>
      <c r="F24" s="163">
        <v>42491</v>
      </c>
    </row>
    <row r="25" spans="2:6" x14ac:dyDescent="0.25">
      <c r="B25" s="163">
        <v>42550</v>
      </c>
      <c r="C25" s="163">
        <v>42550</v>
      </c>
      <c r="D25" s="163">
        <v>42550</v>
      </c>
      <c r="E25" s="163">
        <v>42550</v>
      </c>
      <c r="F25" s="163">
        <v>42550</v>
      </c>
    </row>
    <row r="26" spans="2:6" x14ac:dyDescent="0.25">
      <c r="B26" s="163">
        <v>42579</v>
      </c>
      <c r="C26" s="163">
        <v>42579</v>
      </c>
      <c r="D26" s="163">
        <v>42579</v>
      </c>
      <c r="E26" s="163">
        <v>42579</v>
      </c>
      <c r="F26" s="163">
        <v>42579</v>
      </c>
    </row>
    <row r="27" spans="2:6" x14ac:dyDescent="0.25">
      <c r="B27" s="163">
        <v>42580</v>
      </c>
      <c r="C27" s="163">
        <v>42580</v>
      </c>
      <c r="D27" s="163">
        <v>42580</v>
      </c>
      <c r="E27" s="163">
        <v>42580</v>
      </c>
      <c r="F27" s="163">
        <v>42580</v>
      </c>
    </row>
    <row r="28" spans="2:6" x14ac:dyDescent="0.25">
      <c r="B28" s="163">
        <v>42612</v>
      </c>
      <c r="C28" s="163">
        <v>42612</v>
      </c>
      <c r="D28" s="163">
        <v>42612</v>
      </c>
      <c r="E28" s="163">
        <v>42612</v>
      </c>
      <c r="F28" s="163">
        <v>42612</v>
      </c>
    </row>
    <row r="29" spans="2:6" x14ac:dyDescent="0.25">
      <c r="B29" s="163">
        <v>42651</v>
      </c>
      <c r="C29" s="163">
        <v>42651</v>
      </c>
      <c r="D29" s="163">
        <v>42651</v>
      </c>
      <c r="E29" s="163">
        <v>42651</v>
      </c>
      <c r="F29" s="163">
        <v>42651</v>
      </c>
    </row>
    <row r="30" spans="2:6" x14ac:dyDescent="0.25">
      <c r="B30" s="163">
        <v>42675</v>
      </c>
      <c r="C30" s="163">
        <v>42675</v>
      </c>
      <c r="D30" s="163">
        <v>42675</v>
      </c>
      <c r="E30" s="163">
        <v>42675</v>
      </c>
      <c r="F30" s="163">
        <v>42675</v>
      </c>
    </row>
    <row r="31" spans="2:6" x14ac:dyDescent="0.25">
      <c r="B31" s="164">
        <v>42691</v>
      </c>
      <c r="C31" s="178"/>
      <c r="D31" s="178"/>
      <c r="E31" s="178"/>
      <c r="F31" s="164">
        <v>42691</v>
      </c>
    </row>
    <row r="32" spans="2:6" x14ac:dyDescent="0.25">
      <c r="B32" s="164">
        <v>42692</v>
      </c>
      <c r="C32" s="178"/>
      <c r="D32" s="178"/>
      <c r="E32" s="178"/>
      <c r="F32" s="164">
        <v>42692</v>
      </c>
    </row>
    <row r="33" spans="2:6" x14ac:dyDescent="0.25">
      <c r="B33" s="164">
        <v>42693</v>
      </c>
      <c r="C33" s="178"/>
      <c r="D33" s="178"/>
      <c r="E33" s="178"/>
      <c r="F33" s="164">
        <v>42693</v>
      </c>
    </row>
    <row r="34" spans="2:6" x14ac:dyDescent="0.25">
      <c r="B34" s="163">
        <v>42712</v>
      </c>
      <c r="C34" s="163">
        <v>42712</v>
      </c>
      <c r="D34" s="163">
        <v>42712</v>
      </c>
      <c r="E34" s="163">
        <v>42712</v>
      </c>
      <c r="F34" s="163">
        <v>42712</v>
      </c>
    </row>
    <row r="35" spans="2:6" ht="15.75" thickBot="1" x14ac:dyDescent="0.3">
      <c r="B35" s="165">
        <v>42729</v>
      </c>
      <c r="C35" s="165">
        <v>42729</v>
      </c>
      <c r="D35" s="165">
        <v>42729</v>
      </c>
      <c r="E35" s="165">
        <v>42729</v>
      </c>
      <c r="F35" s="165">
        <v>42729</v>
      </c>
    </row>
    <row r="36" spans="2:6" x14ac:dyDescent="0.25">
      <c r="B36" s="162">
        <v>42736</v>
      </c>
      <c r="C36" s="162">
        <v>42736</v>
      </c>
      <c r="D36" s="162">
        <v>42736</v>
      </c>
      <c r="E36" s="162">
        <v>42736</v>
      </c>
      <c r="F36" s="162">
        <v>42736</v>
      </c>
    </row>
    <row r="37" spans="2:6" x14ac:dyDescent="0.25">
      <c r="B37" s="163">
        <v>42838</v>
      </c>
      <c r="C37" s="163">
        <v>42838</v>
      </c>
      <c r="D37" s="163">
        <v>42838</v>
      </c>
      <c r="E37" s="163">
        <v>42838</v>
      </c>
      <c r="F37" s="163">
        <v>42838</v>
      </c>
    </row>
    <row r="38" spans="2:6" x14ac:dyDescent="0.25">
      <c r="B38" s="163">
        <v>42839</v>
      </c>
      <c r="C38" s="163">
        <v>42839</v>
      </c>
      <c r="D38" s="163">
        <v>42839</v>
      </c>
      <c r="E38" s="163">
        <v>42839</v>
      </c>
      <c r="F38" s="163">
        <v>42839</v>
      </c>
    </row>
    <row r="39" spans="2:6" x14ac:dyDescent="0.25">
      <c r="B39" s="163">
        <v>42841</v>
      </c>
      <c r="C39" s="163">
        <v>42841</v>
      </c>
      <c r="D39" s="163">
        <v>42841</v>
      </c>
      <c r="E39" s="163">
        <v>42841</v>
      </c>
      <c r="F39" s="163">
        <v>42841</v>
      </c>
    </row>
    <row r="40" spans="2:6" x14ac:dyDescent="0.25">
      <c r="B40" s="163">
        <v>42856</v>
      </c>
      <c r="C40" s="163">
        <v>42856</v>
      </c>
      <c r="D40" s="163">
        <v>42856</v>
      </c>
      <c r="E40" s="163">
        <v>42856</v>
      </c>
      <c r="F40" s="163">
        <v>42856</v>
      </c>
    </row>
    <row r="41" spans="2:6" x14ac:dyDescent="0.25">
      <c r="B41" s="163">
        <v>42915</v>
      </c>
      <c r="C41" s="163">
        <v>42915</v>
      </c>
      <c r="D41" s="163">
        <v>42915</v>
      </c>
      <c r="E41" s="163">
        <v>42915</v>
      </c>
      <c r="F41" s="163">
        <v>42915</v>
      </c>
    </row>
    <row r="42" spans="2:6" x14ac:dyDescent="0.25">
      <c r="B42" s="163">
        <v>42944</v>
      </c>
      <c r="C42" s="163">
        <v>42944</v>
      </c>
      <c r="D42" s="163">
        <v>42944</v>
      </c>
      <c r="E42" s="163">
        <v>42944</v>
      </c>
      <c r="F42" s="163">
        <v>42944</v>
      </c>
    </row>
    <row r="43" spans="2:6" x14ac:dyDescent="0.25">
      <c r="B43" s="163">
        <v>42945</v>
      </c>
      <c r="C43" s="163">
        <v>42945</v>
      </c>
      <c r="D43" s="163">
        <v>42945</v>
      </c>
      <c r="E43" s="163">
        <v>42945</v>
      </c>
      <c r="F43" s="163">
        <v>42945</v>
      </c>
    </row>
    <row r="44" spans="2:6" x14ac:dyDescent="0.25">
      <c r="B44" s="163">
        <v>42977</v>
      </c>
      <c r="C44" s="163">
        <v>42977</v>
      </c>
      <c r="D44" s="163">
        <v>42977</v>
      </c>
      <c r="E44" s="163">
        <v>42977</v>
      </c>
      <c r="F44" s="163">
        <v>42977</v>
      </c>
    </row>
    <row r="45" spans="2:6" x14ac:dyDescent="0.25">
      <c r="B45" s="163">
        <v>43016</v>
      </c>
      <c r="C45" s="163">
        <v>43016</v>
      </c>
      <c r="D45" s="163">
        <v>43016</v>
      </c>
      <c r="E45" s="163">
        <v>43016</v>
      </c>
      <c r="F45" s="163">
        <v>43016</v>
      </c>
    </row>
    <row r="46" spans="2:6" x14ac:dyDescent="0.25">
      <c r="B46" s="163">
        <v>43040</v>
      </c>
      <c r="C46" s="163">
        <v>43040</v>
      </c>
      <c r="D46" s="163">
        <v>43040</v>
      </c>
      <c r="E46" s="163">
        <v>43040</v>
      </c>
      <c r="F46" s="163">
        <v>43040</v>
      </c>
    </row>
    <row r="47" spans="2:6" x14ac:dyDescent="0.25">
      <c r="B47" s="163">
        <v>43077</v>
      </c>
      <c r="C47" s="163">
        <v>43077</v>
      </c>
      <c r="D47" s="163">
        <v>43077</v>
      </c>
      <c r="E47" s="163">
        <v>43077</v>
      </c>
      <c r="F47" s="163">
        <v>43077</v>
      </c>
    </row>
    <row r="48" spans="2:6" ht="15.75" thickBot="1" x14ac:dyDescent="0.3">
      <c r="B48" s="165">
        <v>43094</v>
      </c>
      <c r="C48" s="165">
        <v>43094</v>
      </c>
      <c r="D48" s="165">
        <v>43094</v>
      </c>
      <c r="E48" s="165">
        <v>43094</v>
      </c>
      <c r="F48" s="165">
        <v>43094</v>
      </c>
    </row>
    <row r="49" spans="2:6" x14ac:dyDescent="0.25">
      <c r="B49" s="162">
        <v>43101</v>
      </c>
      <c r="C49" s="162">
        <v>43101</v>
      </c>
      <c r="D49" s="162">
        <v>43101</v>
      </c>
      <c r="E49" s="162">
        <v>43101</v>
      </c>
      <c r="F49" s="162">
        <v>43101</v>
      </c>
    </row>
    <row r="50" spans="2:6" x14ac:dyDescent="0.25">
      <c r="B50" s="163">
        <v>43188</v>
      </c>
      <c r="C50" s="163">
        <v>43188</v>
      </c>
      <c r="D50" s="163">
        <v>43188</v>
      </c>
      <c r="E50" s="163">
        <v>43188</v>
      </c>
      <c r="F50" s="163">
        <v>43188</v>
      </c>
    </row>
    <row r="51" spans="2:6" x14ac:dyDescent="0.25">
      <c r="B51" s="163">
        <v>43189</v>
      </c>
      <c r="C51" s="163">
        <v>43189</v>
      </c>
      <c r="D51" s="163">
        <v>43189</v>
      </c>
      <c r="E51" s="163">
        <v>43189</v>
      </c>
      <c r="F51" s="163">
        <v>43189</v>
      </c>
    </row>
    <row r="52" spans="2:6" ht="16.5" x14ac:dyDescent="0.3">
      <c r="B52" s="164">
        <v>43203</v>
      </c>
      <c r="C52" s="182"/>
      <c r="D52" s="186"/>
      <c r="E52" s="186"/>
      <c r="F52" s="164">
        <v>43203</v>
      </c>
    </row>
    <row r="53" spans="2:6" ht="16.5" x14ac:dyDescent="0.3">
      <c r="B53" s="164">
        <v>43204</v>
      </c>
      <c r="C53" s="182"/>
      <c r="D53" s="186"/>
      <c r="E53" s="186"/>
      <c r="F53" s="164">
        <v>43204</v>
      </c>
    </row>
    <row r="54" spans="2:6" x14ac:dyDescent="0.25">
      <c r="B54" s="163">
        <v>43221</v>
      </c>
      <c r="C54" s="163">
        <v>43221</v>
      </c>
      <c r="D54" s="163">
        <v>43221</v>
      </c>
      <c r="E54" s="163">
        <v>43221</v>
      </c>
      <c r="F54" s="163">
        <v>43221</v>
      </c>
    </row>
    <row r="55" spans="2:6" x14ac:dyDescent="0.25">
      <c r="B55" s="163">
        <v>43275</v>
      </c>
      <c r="C55" s="163">
        <v>43275</v>
      </c>
      <c r="D55" s="163">
        <v>43275</v>
      </c>
      <c r="E55" s="163">
        <v>43275</v>
      </c>
      <c r="F55" s="163">
        <v>43275</v>
      </c>
    </row>
    <row r="56" spans="2:6" x14ac:dyDescent="0.25">
      <c r="B56" s="163">
        <v>43280</v>
      </c>
      <c r="C56" s="163">
        <v>43280</v>
      </c>
      <c r="D56" s="163">
        <v>43280</v>
      </c>
      <c r="E56" s="163">
        <v>43280</v>
      </c>
      <c r="F56" s="163">
        <v>43280</v>
      </c>
    </row>
    <row r="57" spans="2:6" x14ac:dyDescent="0.25">
      <c r="B57" s="163">
        <v>43309</v>
      </c>
      <c r="C57" s="163">
        <v>43309</v>
      </c>
      <c r="D57" s="163">
        <v>43309</v>
      </c>
      <c r="E57" s="163">
        <v>43309</v>
      </c>
      <c r="F57" s="163">
        <v>43309</v>
      </c>
    </row>
    <row r="58" spans="2:6" x14ac:dyDescent="0.25">
      <c r="B58" s="163">
        <v>43310</v>
      </c>
      <c r="C58" s="163">
        <v>43310</v>
      </c>
      <c r="D58" s="163">
        <v>43310</v>
      </c>
      <c r="E58" s="163">
        <v>43310</v>
      </c>
      <c r="F58" s="163">
        <v>43310</v>
      </c>
    </row>
    <row r="59" spans="2:6" x14ac:dyDescent="0.25">
      <c r="B59" s="163">
        <v>43342</v>
      </c>
      <c r="C59" s="163">
        <v>43342</v>
      </c>
      <c r="D59" s="163">
        <v>43342</v>
      </c>
      <c r="E59" s="163">
        <v>43342</v>
      </c>
      <c r="F59" s="163">
        <v>43342</v>
      </c>
    </row>
    <row r="60" spans="2:6" x14ac:dyDescent="0.25">
      <c r="B60" s="163">
        <v>43381</v>
      </c>
      <c r="C60" s="163">
        <v>43381</v>
      </c>
      <c r="D60" s="163">
        <v>43381</v>
      </c>
      <c r="E60" s="163">
        <v>43381</v>
      </c>
      <c r="F60" s="163">
        <v>43381</v>
      </c>
    </row>
    <row r="61" spans="2:6" x14ac:dyDescent="0.25">
      <c r="B61" s="163">
        <v>43405</v>
      </c>
      <c r="C61" s="163">
        <v>43405</v>
      </c>
      <c r="D61" s="163">
        <v>43405</v>
      </c>
      <c r="E61" s="163">
        <v>43405</v>
      </c>
      <c r="F61" s="163">
        <v>43405</v>
      </c>
    </row>
    <row r="62" spans="2:6" x14ac:dyDescent="0.25">
      <c r="B62" s="163">
        <v>43442</v>
      </c>
      <c r="C62" s="163">
        <v>43442</v>
      </c>
      <c r="D62" s="163">
        <v>43442</v>
      </c>
      <c r="E62" s="163">
        <v>43442</v>
      </c>
      <c r="F62" s="163">
        <v>43442</v>
      </c>
    </row>
    <row r="63" spans="2:6" ht="15.75" thickBot="1" x14ac:dyDescent="0.3">
      <c r="B63" s="165">
        <v>43459</v>
      </c>
      <c r="C63" s="165">
        <v>43459</v>
      </c>
      <c r="D63" s="165">
        <v>43459</v>
      </c>
      <c r="E63" s="165">
        <v>43459</v>
      </c>
      <c r="F63" s="165">
        <v>43459</v>
      </c>
    </row>
    <row r="64" spans="2:6" x14ac:dyDescent="0.25">
      <c r="B64" s="162">
        <v>43466</v>
      </c>
      <c r="C64" s="162">
        <v>43466</v>
      </c>
      <c r="D64" s="162">
        <v>43466</v>
      </c>
      <c r="E64" s="162">
        <v>43466</v>
      </c>
      <c r="F64" s="162">
        <v>43466</v>
      </c>
    </row>
    <row r="65" spans="2:6" x14ac:dyDescent="0.25">
      <c r="B65" s="163">
        <v>43573</v>
      </c>
      <c r="C65" s="163">
        <v>43573</v>
      </c>
      <c r="D65" s="163">
        <v>43573</v>
      </c>
      <c r="E65" s="163">
        <v>43573</v>
      </c>
      <c r="F65" s="163">
        <v>43573</v>
      </c>
    </row>
    <row r="66" spans="2:6" x14ac:dyDescent="0.25">
      <c r="B66" s="163">
        <v>43574</v>
      </c>
      <c r="C66" s="163">
        <v>43574</v>
      </c>
      <c r="D66" s="163">
        <v>43574</v>
      </c>
      <c r="E66" s="163">
        <v>43574</v>
      </c>
      <c r="F66" s="163">
        <v>43574</v>
      </c>
    </row>
    <row r="67" spans="2:6" x14ac:dyDescent="0.25">
      <c r="B67" s="163">
        <v>43576</v>
      </c>
      <c r="C67" s="163">
        <v>43576</v>
      </c>
      <c r="D67" s="163">
        <v>43576</v>
      </c>
      <c r="E67" s="163">
        <v>43576</v>
      </c>
      <c r="F67" s="163">
        <v>43576</v>
      </c>
    </row>
    <row r="68" spans="2:6" x14ac:dyDescent="0.25">
      <c r="B68" s="163">
        <v>43586</v>
      </c>
      <c r="C68" s="163">
        <v>43586</v>
      </c>
      <c r="D68" s="163">
        <v>43586</v>
      </c>
      <c r="E68" s="163">
        <v>43586</v>
      </c>
      <c r="F68" s="163">
        <v>43586</v>
      </c>
    </row>
    <row r="69" spans="2:6" x14ac:dyDescent="0.25">
      <c r="B69" s="163">
        <v>43645</v>
      </c>
      <c r="C69" s="163">
        <v>43645</v>
      </c>
      <c r="D69" s="163">
        <v>43645</v>
      </c>
      <c r="E69" s="163">
        <v>43645</v>
      </c>
      <c r="F69" s="163">
        <v>43645</v>
      </c>
    </row>
    <row r="70" spans="2:6" x14ac:dyDescent="0.25">
      <c r="B70" s="163">
        <v>43674</v>
      </c>
      <c r="C70" s="163">
        <v>43674</v>
      </c>
      <c r="D70" s="163">
        <v>43674</v>
      </c>
      <c r="E70" s="163">
        <v>43674</v>
      </c>
      <c r="F70" s="163">
        <v>43674</v>
      </c>
    </row>
    <row r="71" spans="2:6" x14ac:dyDescent="0.25">
      <c r="B71" s="163">
        <v>43675</v>
      </c>
      <c r="C71" s="163">
        <v>43675</v>
      </c>
      <c r="D71" s="163">
        <v>43675</v>
      </c>
      <c r="E71" s="163">
        <v>43675</v>
      </c>
      <c r="F71" s="163">
        <v>43675</v>
      </c>
    </row>
    <row r="72" spans="2:6" x14ac:dyDescent="0.25">
      <c r="B72" s="163">
        <v>43707</v>
      </c>
      <c r="C72" s="163">
        <v>43707</v>
      </c>
      <c r="D72" s="163">
        <v>43707</v>
      </c>
      <c r="E72" s="163">
        <v>43707</v>
      </c>
      <c r="F72" s="163">
        <v>43707</v>
      </c>
    </row>
    <row r="73" spans="2:6" x14ac:dyDescent="0.25">
      <c r="B73" s="163">
        <v>43746</v>
      </c>
      <c r="C73" s="163">
        <v>43746</v>
      </c>
      <c r="D73" s="163">
        <v>43746</v>
      </c>
      <c r="E73" s="163">
        <v>43746</v>
      </c>
      <c r="F73" s="163">
        <v>43746</v>
      </c>
    </row>
    <row r="74" spans="2:6" x14ac:dyDescent="0.25">
      <c r="B74" s="163">
        <v>43770</v>
      </c>
      <c r="C74" s="163">
        <v>43770</v>
      </c>
      <c r="D74" s="163">
        <v>43770</v>
      </c>
      <c r="E74" s="163">
        <v>43770</v>
      </c>
      <c r="F74" s="163">
        <v>43770</v>
      </c>
    </row>
    <row r="75" spans="2:6" x14ac:dyDescent="0.25">
      <c r="B75" s="163">
        <v>43807</v>
      </c>
      <c r="C75" s="163">
        <v>43807</v>
      </c>
      <c r="D75" s="163">
        <v>43807</v>
      </c>
      <c r="E75" s="163">
        <v>43807</v>
      </c>
      <c r="F75" s="163">
        <v>43807</v>
      </c>
    </row>
    <row r="76" spans="2:6" ht="15.75" thickBot="1" x14ac:dyDescent="0.3">
      <c r="B76" s="163">
        <v>43824</v>
      </c>
      <c r="C76" s="165">
        <v>43824</v>
      </c>
      <c r="D76" s="165">
        <v>43824</v>
      </c>
      <c r="E76" s="165">
        <v>43824</v>
      </c>
      <c r="F76" s="165">
        <v>43824</v>
      </c>
    </row>
    <row r="77" spans="2:6" x14ac:dyDescent="0.25">
      <c r="B77" s="162">
        <v>43831</v>
      </c>
      <c r="C77" s="162">
        <v>43831</v>
      </c>
      <c r="D77" s="242">
        <v>43831</v>
      </c>
      <c r="E77" s="162">
        <v>43831</v>
      </c>
      <c r="F77" s="162">
        <v>43831</v>
      </c>
    </row>
    <row r="78" spans="2:6" x14ac:dyDescent="0.25">
      <c r="B78" s="180">
        <v>43906</v>
      </c>
      <c r="C78" s="163">
        <v>43906</v>
      </c>
      <c r="D78" s="243">
        <v>43930</v>
      </c>
      <c r="E78" s="163">
        <v>43930</v>
      </c>
      <c r="F78" s="163">
        <v>43930</v>
      </c>
    </row>
    <row r="79" spans="2:6" x14ac:dyDescent="0.25">
      <c r="B79" s="180">
        <v>43907</v>
      </c>
      <c r="C79" s="163">
        <v>43907</v>
      </c>
      <c r="D79" s="243">
        <v>43931</v>
      </c>
      <c r="E79" s="163">
        <v>43931</v>
      </c>
      <c r="F79" s="163">
        <v>43931</v>
      </c>
    </row>
    <row r="80" spans="2:6" x14ac:dyDescent="0.25">
      <c r="B80" s="180">
        <v>43908</v>
      </c>
      <c r="C80" s="163">
        <v>43908</v>
      </c>
      <c r="D80" s="243">
        <v>43952</v>
      </c>
      <c r="E80" s="163">
        <v>43952</v>
      </c>
      <c r="F80" s="163">
        <v>43952</v>
      </c>
    </row>
    <row r="81" spans="2:6" x14ac:dyDescent="0.25">
      <c r="B81" s="180">
        <v>43909</v>
      </c>
      <c r="C81" s="163">
        <v>43909</v>
      </c>
      <c r="D81" s="243">
        <v>44011</v>
      </c>
      <c r="E81" s="163">
        <v>44011</v>
      </c>
      <c r="F81" s="163">
        <v>44011</v>
      </c>
    </row>
    <row r="82" spans="2:6" x14ac:dyDescent="0.25">
      <c r="B82" s="180">
        <v>43910</v>
      </c>
      <c r="C82" s="163">
        <v>43910</v>
      </c>
      <c r="D82" s="243">
        <v>44040</v>
      </c>
      <c r="E82" s="163">
        <v>44040</v>
      </c>
      <c r="F82" s="163">
        <v>44040</v>
      </c>
    </row>
    <row r="83" spans="2:6" x14ac:dyDescent="0.25">
      <c r="B83" s="180">
        <v>43911</v>
      </c>
      <c r="C83" s="163">
        <v>43911</v>
      </c>
      <c r="D83" s="243">
        <v>44041</v>
      </c>
      <c r="E83" s="163">
        <v>44041</v>
      </c>
      <c r="F83" s="163">
        <v>44041</v>
      </c>
    </row>
    <row r="84" spans="2:6" x14ac:dyDescent="0.25">
      <c r="B84" s="180">
        <v>43912</v>
      </c>
      <c r="C84" s="163">
        <v>43912</v>
      </c>
      <c r="D84" s="243">
        <v>44073</v>
      </c>
      <c r="E84" s="163">
        <v>44073</v>
      </c>
      <c r="F84" s="163">
        <v>44073</v>
      </c>
    </row>
    <row r="85" spans="2:6" x14ac:dyDescent="0.25">
      <c r="B85" s="180">
        <v>43913</v>
      </c>
      <c r="C85" s="163">
        <v>43913</v>
      </c>
      <c r="D85" s="243">
        <v>44112</v>
      </c>
      <c r="E85" s="163">
        <v>44112</v>
      </c>
      <c r="F85" s="163">
        <v>44112</v>
      </c>
    </row>
    <row r="86" spans="2:6" x14ac:dyDescent="0.25">
      <c r="B86" s="180">
        <v>43914</v>
      </c>
      <c r="C86" s="163">
        <v>43914</v>
      </c>
      <c r="D86" s="243">
        <v>44136</v>
      </c>
      <c r="E86" s="163">
        <v>44136</v>
      </c>
      <c r="F86" s="163">
        <v>44136</v>
      </c>
    </row>
    <row r="87" spans="2:6" x14ac:dyDescent="0.25">
      <c r="B87" s="180">
        <v>43915</v>
      </c>
      <c r="C87" s="163">
        <v>43915</v>
      </c>
      <c r="D87" s="243">
        <v>44173</v>
      </c>
      <c r="E87" s="163">
        <v>44173</v>
      </c>
      <c r="F87" s="163">
        <v>44173</v>
      </c>
    </row>
    <row r="88" spans="2:6" ht="15.75" thickBot="1" x14ac:dyDescent="0.3">
      <c r="B88" s="180">
        <v>43916</v>
      </c>
      <c r="C88" s="163">
        <v>43916</v>
      </c>
      <c r="D88" s="244">
        <v>44190</v>
      </c>
      <c r="E88" s="165">
        <v>44190</v>
      </c>
      <c r="F88" s="165">
        <v>44190</v>
      </c>
    </row>
    <row r="89" spans="2:6" x14ac:dyDescent="0.25">
      <c r="B89" s="180">
        <v>43917</v>
      </c>
      <c r="C89" s="163">
        <v>43917</v>
      </c>
    </row>
    <row r="90" spans="2:6" x14ac:dyDescent="0.25">
      <c r="B90" s="180">
        <v>43918</v>
      </c>
      <c r="C90" s="163">
        <v>43918</v>
      </c>
    </row>
    <row r="91" spans="2:6" x14ac:dyDescent="0.25">
      <c r="B91" s="180">
        <v>43919</v>
      </c>
      <c r="C91" s="163">
        <v>43919</v>
      </c>
    </row>
    <row r="92" spans="2:6" x14ac:dyDescent="0.25">
      <c r="B92" s="180">
        <v>43920</v>
      </c>
      <c r="C92" s="163">
        <v>43920</v>
      </c>
    </row>
    <row r="93" spans="2:6" x14ac:dyDescent="0.25">
      <c r="B93" s="180">
        <v>43921</v>
      </c>
      <c r="C93" s="163">
        <v>43921</v>
      </c>
    </row>
    <row r="94" spans="2:6" x14ac:dyDescent="0.25">
      <c r="B94" s="180">
        <v>43922</v>
      </c>
      <c r="C94" s="163">
        <v>43922</v>
      </c>
    </row>
    <row r="95" spans="2:6" x14ac:dyDescent="0.25">
      <c r="B95" s="180">
        <v>43923</v>
      </c>
      <c r="C95" s="163">
        <v>43923</v>
      </c>
    </row>
    <row r="96" spans="2:6" x14ac:dyDescent="0.25">
      <c r="B96" s="180">
        <v>43924</v>
      </c>
      <c r="C96" s="163">
        <v>43924</v>
      </c>
    </row>
    <row r="97" spans="2:3" x14ac:dyDescent="0.25">
      <c r="B97" s="180">
        <v>43925</v>
      </c>
      <c r="C97" s="163">
        <v>43925</v>
      </c>
    </row>
    <row r="98" spans="2:3" x14ac:dyDescent="0.25">
      <c r="B98" s="180">
        <v>43926</v>
      </c>
      <c r="C98" s="163">
        <v>43926</v>
      </c>
    </row>
    <row r="99" spans="2:3" x14ac:dyDescent="0.25">
      <c r="B99" s="180">
        <v>43927</v>
      </c>
      <c r="C99" s="163">
        <v>43927</v>
      </c>
    </row>
    <row r="100" spans="2:3" x14ac:dyDescent="0.25">
      <c r="B100" s="180">
        <v>43928</v>
      </c>
      <c r="C100" s="163">
        <v>43928</v>
      </c>
    </row>
    <row r="101" spans="2:3" x14ac:dyDescent="0.25">
      <c r="B101" s="180">
        <v>43929</v>
      </c>
      <c r="C101" s="163">
        <v>43929</v>
      </c>
    </row>
    <row r="102" spans="2:3" x14ac:dyDescent="0.25">
      <c r="B102" s="180">
        <v>43930</v>
      </c>
      <c r="C102" s="163">
        <v>43930</v>
      </c>
    </row>
    <row r="103" spans="2:3" x14ac:dyDescent="0.25">
      <c r="B103" s="180">
        <v>43931</v>
      </c>
      <c r="C103" s="163">
        <v>43931</v>
      </c>
    </row>
    <row r="104" spans="2:3" x14ac:dyDescent="0.25">
      <c r="B104" s="180">
        <v>43932</v>
      </c>
      <c r="C104" s="163">
        <v>43932</v>
      </c>
    </row>
    <row r="105" spans="2:3" x14ac:dyDescent="0.25">
      <c r="B105" s="180">
        <v>43933</v>
      </c>
      <c r="C105" s="163">
        <v>43933</v>
      </c>
    </row>
    <row r="106" spans="2:3" x14ac:dyDescent="0.25">
      <c r="B106" s="180">
        <v>43934</v>
      </c>
      <c r="C106" s="163">
        <v>43934</v>
      </c>
    </row>
    <row r="107" spans="2:3" x14ac:dyDescent="0.25">
      <c r="B107" s="180">
        <v>43935</v>
      </c>
      <c r="C107" s="163">
        <v>43935</v>
      </c>
    </row>
    <row r="108" spans="2:3" x14ac:dyDescent="0.25">
      <c r="B108" s="180">
        <v>43936</v>
      </c>
      <c r="C108" s="163">
        <v>43936</v>
      </c>
    </row>
    <row r="109" spans="2:3" x14ac:dyDescent="0.25">
      <c r="B109" s="180">
        <v>43937</v>
      </c>
      <c r="C109" s="163">
        <v>43937</v>
      </c>
    </row>
    <row r="110" spans="2:3" x14ac:dyDescent="0.25">
      <c r="B110" s="180">
        <v>43938</v>
      </c>
      <c r="C110" s="163">
        <v>43938</v>
      </c>
    </row>
    <row r="111" spans="2:3" x14ac:dyDescent="0.25">
      <c r="B111" s="180">
        <v>43939</v>
      </c>
      <c r="C111" s="163">
        <v>43939</v>
      </c>
    </row>
    <row r="112" spans="2:3" x14ac:dyDescent="0.25">
      <c r="B112" s="180">
        <v>43940</v>
      </c>
      <c r="C112" s="163">
        <v>43940</v>
      </c>
    </row>
    <row r="113" spans="2:3" x14ac:dyDescent="0.25">
      <c r="B113" s="180">
        <v>43941</v>
      </c>
      <c r="C113" s="163">
        <v>43941</v>
      </c>
    </row>
    <row r="114" spans="2:3" x14ac:dyDescent="0.25">
      <c r="B114" s="180">
        <v>43942</v>
      </c>
      <c r="C114" s="163">
        <v>43942</v>
      </c>
    </row>
    <row r="115" spans="2:3" x14ac:dyDescent="0.25">
      <c r="B115" s="180">
        <v>43943</v>
      </c>
      <c r="C115" s="163">
        <v>43943</v>
      </c>
    </row>
    <row r="116" spans="2:3" x14ac:dyDescent="0.25">
      <c r="B116" s="180">
        <v>43944</v>
      </c>
      <c r="C116" s="163">
        <v>43944</v>
      </c>
    </row>
    <row r="117" spans="2:3" x14ac:dyDescent="0.25">
      <c r="B117" s="180">
        <v>43945</v>
      </c>
      <c r="C117" s="163">
        <v>43945</v>
      </c>
    </row>
    <row r="118" spans="2:3" x14ac:dyDescent="0.25">
      <c r="B118" s="180">
        <v>43946</v>
      </c>
      <c r="C118" s="163">
        <v>43946</v>
      </c>
    </row>
    <row r="119" spans="2:3" x14ac:dyDescent="0.25">
      <c r="B119" s="180">
        <v>43947</v>
      </c>
      <c r="C119" s="163">
        <v>43947</v>
      </c>
    </row>
    <row r="120" spans="2:3" x14ac:dyDescent="0.25">
      <c r="B120" s="180">
        <v>43948</v>
      </c>
      <c r="C120" s="163">
        <v>43948</v>
      </c>
    </row>
    <row r="121" spans="2:3" x14ac:dyDescent="0.25">
      <c r="B121" s="180">
        <v>43949</v>
      </c>
      <c r="C121" s="163">
        <v>43949</v>
      </c>
    </row>
    <row r="122" spans="2:3" x14ac:dyDescent="0.25">
      <c r="B122" s="180">
        <v>43950</v>
      </c>
      <c r="C122" s="163">
        <v>43950</v>
      </c>
    </row>
    <row r="123" spans="2:3" x14ac:dyDescent="0.25">
      <c r="B123" s="180">
        <v>43951</v>
      </c>
      <c r="C123" s="163">
        <v>43951</v>
      </c>
    </row>
    <row r="124" spans="2:3" x14ac:dyDescent="0.25">
      <c r="B124" s="180">
        <v>43952</v>
      </c>
      <c r="C124" s="163">
        <v>43952</v>
      </c>
    </row>
    <row r="125" spans="2:3" x14ac:dyDescent="0.25">
      <c r="B125" s="180">
        <v>43953</v>
      </c>
      <c r="C125" s="163">
        <v>43953</v>
      </c>
    </row>
    <row r="126" spans="2:3" x14ac:dyDescent="0.25">
      <c r="B126" s="180">
        <v>43954</v>
      </c>
      <c r="C126" s="163">
        <v>43954</v>
      </c>
    </row>
    <row r="127" spans="2:3" x14ac:dyDescent="0.25">
      <c r="B127" s="180">
        <v>43955</v>
      </c>
      <c r="C127" s="163">
        <v>43955</v>
      </c>
    </row>
    <row r="128" spans="2:3" x14ac:dyDescent="0.25">
      <c r="B128" s="180">
        <v>43956</v>
      </c>
      <c r="C128" s="163">
        <v>43956</v>
      </c>
    </row>
    <row r="129" spans="2:3" x14ac:dyDescent="0.25">
      <c r="B129" s="180">
        <v>43957</v>
      </c>
      <c r="C129" s="163">
        <v>43957</v>
      </c>
    </row>
    <row r="130" spans="2:3" x14ac:dyDescent="0.25">
      <c r="B130" s="180">
        <v>43958</v>
      </c>
      <c r="C130" s="163">
        <v>43958</v>
      </c>
    </row>
    <row r="131" spans="2:3" x14ac:dyDescent="0.25">
      <c r="B131" s="180">
        <v>43959</v>
      </c>
      <c r="C131" s="163">
        <v>43959</v>
      </c>
    </row>
    <row r="132" spans="2:3" x14ac:dyDescent="0.25">
      <c r="B132" s="180">
        <v>43960</v>
      </c>
      <c r="C132" s="163">
        <v>43960</v>
      </c>
    </row>
    <row r="133" spans="2:3" x14ac:dyDescent="0.25">
      <c r="B133" s="180">
        <v>43961</v>
      </c>
      <c r="C133" s="163">
        <v>43961</v>
      </c>
    </row>
    <row r="134" spans="2:3" x14ac:dyDescent="0.25">
      <c r="B134" s="180">
        <v>43962</v>
      </c>
      <c r="C134" s="163">
        <v>43962</v>
      </c>
    </row>
    <row r="135" spans="2:3" x14ac:dyDescent="0.25">
      <c r="B135" s="180">
        <v>43963</v>
      </c>
      <c r="C135" s="163">
        <v>43963</v>
      </c>
    </row>
    <row r="136" spans="2:3" x14ac:dyDescent="0.25">
      <c r="B136" s="180">
        <v>43964</v>
      </c>
      <c r="C136" s="163">
        <v>43964</v>
      </c>
    </row>
    <row r="137" spans="2:3" x14ac:dyDescent="0.25">
      <c r="B137" s="180">
        <v>43965</v>
      </c>
      <c r="C137" s="163">
        <v>43965</v>
      </c>
    </row>
    <row r="138" spans="2:3" x14ac:dyDescent="0.25">
      <c r="B138" s="180">
        <v>43966</v>
      </c>
      <c r="C138" s="163">
        <v>43966</v>
      </c>
    </row>
    <row r="139" spans="2:3" x14ac:dyDescent="0.25">
      <c r="B139" s="180">
        <v>43967</v>
      </c>
      <c r="C139" s="163">
        <v>43967</v>
      </c>
    </row>
    <row r="140" spans="2:3" x14ac:dyDescent="0.25">
      <c r="B140" s="180">
        <v>43968</v>
      </c>
      <c r="C140" s="163">
        <v>43968</v>
      </c>
    </row>
    <row r="141" spans="2:3" x14ac:dyDescent="0.25">
      <c r="B141" s="180">
        <v>43969</v>
      </c>
      <c r="C141" s="163">
        <v>43969</v>
      </c>
    </row>
    <row r="142" spans="2:3" x14ac:dyDescent="0.25">
      <c r="B142" s="180">
        <v>43970</v>
      </c>
      <c r="C142" s="163">
        <v>43970</v>
      </c>
    </row>
    <row r="143" spans="2:3" x14ac:dyDescent="0.25">
      <c r="B143" s="180">
        <v>43971</v>
      </c>
      <c r="C143" s="163">
        <v>43971</v>
      </c>
    </row>
    <row r="144" spans="2:3" x14ac:dyDescent="0.25">
      <c r="B144" s="180">
        <v>43972</v>
      </c>
      <c r="C144" s="163">
        <v>43972</v>
      </c>
    </row>
    <row r="145" spans="2:3" x14ac:dyDescent="0.25">
      <c r="B145" s="180">
        <v>43973</v>
      </c>
      <c r="C145" s="163">
        <v>43973</v>
      </c>
    </row>
    <row r="146" spans="2:3" x14ac:dyDescent="0.25">
      <c r="B146" s="180">
        <v>43974</v>
      </c>
      <c r="C146" s="163">
        <v>43974</v>
      </c>
    </row>
    <row r="147" spans="2:3" x14ac:dyDescent="0.25">
      <c r="B147" s="180">
        <v>43975</v>
      </c>
      <c r="C147" s="163">
        <v>43975</v>
      </c>
    </row>
    <row r="148" spans="2:3" x14ac:dyDescent="0.25">
      <c r="B148" s="180">
        <v>43976</v>
      </c>
      <c r="C148" s="163">
        <v>43976</v>
      </c>
    </row>
    <row r="149" spans="2:3" x14ac:dyDescent="0.25">
      <c r="B149" s="180">
        <v>43977</v>
      </c>
      <c r="C149" s="163">
        <v>43977</v>
      </c>
    </row>
    <row r="150" spans="2:3" x14ac:dyDescent="0.25">
      <c r="B150" s="180">
        <v>43978</v>
      </c>
      <c r="C150" s="163">
        <v>43978</v>
      </c>
    </row>
    <row r="151" spans="2:3" x14ac:dyDescent="0.25">
      <c r="B151" s="180">
        <v>43979</v>
      </c>
      <c r="C151" s="163">
        <v>43979</v>
      </c>
    </row>
    <row r="152" spans="2:3" x14ac:dyDescent="0.25">
      <c r="B152" s="180">
        <v>43980</v>
      </c>
      <c r="C152" s="163">
        <v>43980</v>
      </c>
    </row>
    <row r="153" spans="2:3" x14ac:dyDescent="0.25">
      <c r="B153" s="180">
        <v>43981</v>
      </c>
      <c r="C153" s="163">
        <v>43981</v>
      </c>
    </row>
    <row r="154" spans="2:3" x14ac:dyDescent="0.25">
      <c r="B154" s="180">
        <v>43982</v>
      </c>
      <c r="C154" s="163">
        <v>43982</v>
      </c>
    </row>
    <row r="155" spans="2:3" x14ac:dyDescent="0.25">
      <c r="B155" s="180">
        <v>43983</v>
      </c>
      <c r="C155" s="163">
        <v>43983</v>
      </c>
    </row>
    <row r="156" spans="2:3" x14ac:dyDescent="0.25">
      <c r="B156" s="180">
        <v>43984</v>
      </c>
      <c r="C156" s="163">
        <v>43984</v>
      </c>
    </row>
    <row r="157" spans="2:3" x14ac:dyDescent="0.25">
      <c r="B157" s="180">
        <v>43985</v>
      </c>
      <c r="C157" s="163">
        <v>43985</v>
      </c>
    </row>
    <row r="158" spans="2:3" x14ac:dyDescent="0.25">
      <c r="B158" s="180">
        <v>43986</v>
      </c>
      <c r="C158" s="163">
        <v>43986</v>
      </c>
    </row>
    <row r="159" spans="2:3" x14ac:dyDescent="0.25">
      <c r="B159" s="180">
        <v>43987</v>
      </c>
      <c r="C159" s="163">
        <v>43987</v>
      </c>
    </row>
    <row r="160" spans="2:3" x14ac:dyDescent="0.25">
      <c r="B160" s="180">
        <v>43988</v>
      </c>
      <c r="C160" s="163">
        <v>43988</v>
      </c>
    </row>
    <row r="161" spans="2:6" x14ac:dyDescent="0.25">
      <c r="B161" s="180">
        <v>43989</v>
      </c>
      <c r="C161" s="163">
        <v>43989</v>
      </c>
    </row>
    <row r="162" spans="2:6" x14ac:dyDescent="0.25">
      <c r="B162" s="180">
        <v>43990</v>
      </c>
      <c r="C162" s="163">
        <v>43990</v>
      </c>
    </row>
    <row r="163" spans="2:6" x14ac:dyDescent="0.25">
      <c r="B163" s="180">
        <v>43991</v>
      </c>
      <c r="C163" s="163">
        <v>43991</v>
      </c>
    </row>
    <row r="164" spans="2:6" x14ac:dyDescent="0.25">
      <c r="B164" s="180">
        <v>43992</v>
      </c>
      <c r="C164" s="163">
        <v>43992</v>
      </c>
    </row>
    <row r="165" spans="2:6" x14ac:dyDescent="0.25">
      <c r="B165" s="163">
        <v>44011</v>
      </c>
      <c r="C165" s="163">
        <v>44011</v>
      </c>
    </row>
    <row r="166" spans="2:6" x14ac:dyDescent="0.25">
      <c r="B166" s="163">
        <v>44040</v>
      </c>
      <c r="C166" s="163">
        <v>44040</v>
      </c>
    </row>
    <row r="167" spans="2:6" x14ac:dyDescent="0.25">
      <c r="B167" s="163">
        <v>44073</v>
      </c>
      <c r="C167" s="163">
        <v>44073</v>
      </c>
    </row>
    <row r="168" spans="2:6" x14ac:dyDescent="0.25">
      <c r="B168" s="163">
        <v>44136</v>
      </c>
      <c r="C168" s="163">
        <v>44136</v>
      </c>
    </row>
    <row r="169" spans="2:6" x14ac:dyDescent="0.25">
      <c r="B169" s="163">
        <v>44173</v>
      </c>
      <c r="C169" s="163">
        <v>44136</v>
      </c>
    </row>
    <row r="170" spans="2:6" ht="15.75" thickBot="1" x14ac:dyDescent="0.3">
      <c r="B170" s="165">
        <v>44190</v>
      </c>
      <c r="C170" s="165">
        <v>44190</v>
      </c>
    </row>
    <row r="171" spans="2:6" x14ac:dyDescent="0.25">
      <c r="B171" s="162">
        <v>44197</v>
      </c>
      <c r="C171" s="162">
        <v>44197</v>
      </c>
      <c r="D171" s="242">
        <v>44197</v>
      </c>
      <c r="E171" s="242">
        <v>44197</v>
      </c>
      <c r="F171" s="242">
        <v>44197</v>
      </c>
    </row>
    <row r="172" spans="2:6" x14ac:dyDescent="0.25">
      <c r="B172" s="163">
        <v>44287</v>
      </c>
      <c r="C172" s="243">
        <v>44287</v>
      </c>
      <c r="D172" s="243">
        <v>44287</v>
      </c>
      <c r="E172" s="243">
        <v>44287</v>
      </c>
      <c r="F172" s="243">
        <v>44287</v>
      </c>
    </row>
    <row r="173" spans="2:6" x14ac:dyDescent="0.25">
      <c r="B173" s="163">
        <v>44288</v>
      </c>
      <c r="C173" s="243">
        <v>44288</v>
      </c>
      <c r="D173" s="243">
        <v>44288</v>
      </c>
      <c r="E173" s="243">
        <v>44288</v>
      </c>
      <c r="F173" s="243">
        <v>44288</v>
      </c>
    </row>
    <row r="174" spans="2:6" x14ac:dyDescent="0.25">
      <c r="B174" s="163">
        <v>44317</v>
      </c>
      <c r="C174" s="163">
        <v>44317</v>
      </c>
      <c r="D174" s="243">
        <v>44317</v>
      </c>
      <c r="E174" s="243">
        <v>44317</v>
      </c>
      <c r="F174" s="243">
        <v>44317</v>
      </c>
    </row>
    <row r="175" spans="2:6" x14ac:dyDescent="0.25">
      <c r="B175" s="163">
        <v>44376</v>
      </c>
      <c r="C175" s="163">
        <v>44376</v>
      </c>
      <c r="D175" s="163">
        <v>44376</v>
      </c>
      <c r="E175" s="163">
        <v>44376</v>
      </c>
      <c r="F175" s="163">
        <v>44376</v>
      </c>
    </row>
    <row r="176" spans="2:6" x14ac:dyDescent="0.25">
      <c r="B176" s="163">
        <v>44405</v>
      </c>
      <c r="C176" s="163">
        <v>44405</v>
      </c>
      <c r="D176" s="163">
        <v>44405</v>
      </c>
      <c r="E176" s="163">
        <v>44405</v>
      </c>
      <c r="F176" s="163">
        <v>44405</v>
      </c>
    </row>
    <row r="177" spans="2:6" x14ac:dyDescent="0.25">
      <c r="B177" s="163">
        <v>44406</v>
      </c>
      <c r="C177" s="163">
        <v>44406</v>
      </c>
      <c r="D177" s="163">
        <v>44406</v>
      </c>
      <c r="E177" s="163">
        <v>44406</v>
      </c>
      <c r="F177" s="163">
        <v>44406</v>
      </c>
    </row>
    <row r="178" spans="2:6" x14ac:dyDescent="0.25">
      <c r="B178" s="163">
        <v>44438</v>
      </c>
      <c r="C178" s="163">
        <v>44438</v>
      </c>
      <c r="D178" s="163">
        <v>44438</v>
      </c>
      <c r="E178" s="163">
        <v>44438</v>
      </c>
      <c r="F178" s="163">
        <v>44438</v>
      </c>
    </row>
    <row r="179" spans="2:6" x14ac:dyDescent="0.25">
      <c r="B179" s="163">
        <v>44477</v>
      </c>
      <c r="C179" s="163">
        <v>44477</v>
      </c>
      <c r="D179" s="163">
        <v>44477</v>
      </c>
      <c r="E179" s="163">
        <v>44477</v>
      </c>
      <c r="F179" s="163">
        <v>44477</v>
      </c>
    </row>
    <row r="180" spans="2:6" x14ac:dyDescent="0.25">
      <c r="B180" s="163">
        <v>44480</v>
      </c>
      <c r="C180" s="163">
        <v>44480</v>
      </c>
      <c r="D180" s="163">
        <v>44480</v>
      </c>
      <c r="E180" s="163">
        <v>44480</v>
      </c>
      <c r="F180" s="163">
        <v>44480</v>
      </c>
    </row>
    <row r="181" spans="2:6" x14ac:dyDescent="0.25">
      <c r="B181" s="163">
        <v>44501</v>
      </c>
      <c r="C181" s="163">
        <v>44501</v>
      </c>
      <c r="D181" s="163">
        <v>44501</v>
      </c>
      <c r="E181" s="163">
        <v>44501</v>
      </c>
      <c r="F181" s="163">
        <v>44501</v>
      </c>
    </row>
    <row r="182" spans="2:6" x14ac:dyDescent="0.25">
      <c r="B182" s="163">
        <v>44502</v>
      </c>
      <c r="C182" s="163">
        <v>44502</v>
      </c>
      <c r="D182" s="163">
        <v>44502</v>
      </c>
      <c r="E182" s="163">
        <v>44502</v>
      </c>
      <c r="F182" s="163">
        <v>44502</v>
      </c>
    </row>
    <row r="183" spans="2:6" x14ac:dyDescent="0.25">
      <c r="B183" s="163">
        <v>44538</v>
      </c>
      <c r="C183" s="163">
        <v>44538</v>
      </c>
      <c r="D183" s="163">
        <v>44538</v>
      </c>
      <c r="E183" s="163">
        <v>44538</v>
      </c>
      <c r="F183" s="163">
        <v>44538</v>
      </c>
    </row>
    <row r="184" spans="2:6" x14ac:dyDescent="0.25">
      <c r="B184" s="163">
        <v>44554</v>
      </c>
      <c r="C184" s="163">
        <v>44554</v>
      </c>
      <c r="D184" s="163">
        <v>44554</v>
      </c>
      <c r="E184" s="163">
        <v>44554</v>
      </c>
      <c r="F184" s="163">
        <v>44554</v>
      </c>
    </row>
    <row r="185" spans="2:6" x14ac:dyDescent="0.25">
      <c r="B185" s="163">
        <v>44555</v>
      </c>
      <c r="C185" s="163">
        <v>44555</v>
      </c>
      <c r="D185" s="163">
        <v>44555</v>
      </c>
      <c r="E185" s="163">
        <v>44555</v>
      </c>
      <c r="F185" s="163">
        <v>44555</v>
      </c>
    </row>
    <row r="186" spans="2:6" x14ac:dyDescent="0.25">
      <c r="B186" s="73">
        <v>44557</v>
      </c>
      <c r="C186" s="73">
        <v>44557</v>
      </c>
      <c r="D186" s="73">
        <v>44557</v>
      </c>
      <c r="E186" s="73">
        <v>44557</v>
      </c>
      <c r="F186" s="73">
        <v>44557</v>
      </c>
    </row>
    <row r="187" spans="2:6" x14ac:dyDescent="0.25">
      <c r="B187" s="73">
        <v>44561</v>
      </c>
      <c r="C187" s="73">
        <v>44561</v>
      </c>
      <c r="D187" s="73">
        <v>44561</v>
      </c>
      <c r="E187" s="73">
        <v>44561</v>
      </c>
      <c r="F187" s="73">
        <v>44561</v>
      </c>
    </row>
    <row r="188" spans="2:6" x14ac:dyDescent="0.25">
      <c r="B188" s="73">
        <v>44562</v>
      </c>
      <c r="C188" s="73">
        <v>44562</v>
      </c>
      <c r="D188" s="73">
        <v>44562</v>
      </c>
      <c r="E188" s="73">
        <v>44562</v>
      </c>
      <c r="F188" s="73">
        <v>44562</v>
      </c>
    </row>
    <row r="189" spans="2:6" x14ac:dyDescent="0.25">
      <c r="B189" s="73">
        <v>44564</v>
      </c>
      <c r="C189" s="73">
        <v>44564</v>
      </c>
      <c r="D189" s="73">
        <v>44564</v>
      </c>
      <c r="E189" s="73">
        <v>44564</v>
      </c>
      <c r="F189" s="73">
        <v>44564</v>
      </c>
    </row>
    <row r="190" spans="2:6" x14ac:dyDescent="0.25">
      <c r="B190" s="73">
        <v>44665</v>
      </c>
      <c r="C190" s="73">
        <v>44665</v>
      </c>
      <c r="D190" s="73">
        <v>44665</v>
      </c>
      <c r="E190" s="73">
        <v>44665</v>
      </c>
      <c r="F190" s="73">
        <v>44665</v>
      </c>
    </row>
    <row r="191" spans="2:6" x14ac:dyDescent="0.25">
      <c r="B191" s="73">
        <v>44666</v>
      </c>
      <c r="C191" s="73">
        <v>44666</v>
      </c>
      <c r="D191" s="73">
        <v>44666</v>
      </c>
      <c r="E191" s="73">
        <v>44666</v>
      </c>
      <c r="F191" s="73">
        <v>44666</v>
      </c>
    </row>
    <row r="192" spans="2:6" x14ac:dyDescent="0.25">
      <c r="B192" s="73">
        <v>44682</v>
      </c>
      <c r="C192" s="73">
        <v>44682</v>
      </c>
      <c r="D192" s="73">
        <v>44682</v>
      </c>
      <c r="E192" s="73">
        <v>44682</v>
      </c>
      <c r="F192" s="73">
        <v>44682</v>
      </c>
    </row>
    <row r="193" spans="2:6" x14ac:dyDescent="0.25">
      <c r="B193" s="73">
        <v>44683</v>
      </c>
      <c r="C193" s="73">
        <v>44683</v>
      </c>
      <c r="D193" s="73">
        <v>44683</v>
      </c>
      <c r="E193" s="73">
        <v>44683</v>
      </c>
      <c r="F193" s="73">
        <v>44683</v>
      </c>
    </row>
    <row r="194" spans="2:6" x14ac:dyDescent="0.25">
      <c r="B194" s="73">
        <v>44725</v>
      </c>
      <c r="C194" s="73">
        <v>44725</v>
      </c>
      <c r="D194" s="73">
        <v>44725</v>
      </c>
      <c r="E194" s="73">
        <v>44725</v>
      </c>
      <c r="F194" s="73">
        <v>44725</v>
      </c>
    </row>
    <row r="195" spans="2:6" x14ac:dyDescent="0.25">
      <c r="B195" s="73">
        <v>44736</v>
      </c>
      <c r="C195" s="73">
        <v>44736</v>
      </c>
      <c r="D195" s="73">
        <v>44736</v>
      </c>
      <c r="E195" s="73">
        <v>44736</v>
      </c>
      <c r="F195" s="73">
        <v>44736</v>
      </c>
    </row>
    <row r="196" spans="2:6" x14ac:dyDescent="0.25">
      <c r="B196" s="73">
        <v>44741</v>
      </c>
      <c r="C196" s="73">
        <v>44741</v>
      </c>
      <c r="D196" s="73">
        <v>44741</v>
      </c>
      <c r="E196" s="73">
        <v>44741</v>
      </c>
      <c r="F196" s="73">
        <v>44741</v>
      </c>
    </row>
    <row r="197" spans="2:6" x14ac:dyDescent="0.25">
      <c r="B197" s="73">
        <v>44770</v>
      </c>
      <c r="C197" s="73">
        <v>44770</v>
      </c>
      <c r="D197" s="73">
        <v>44770</v>
      </c>
      <c r="E197" s="73">
        <v>44770</v>
      </c>
      <c r="F197" s="73">
        <v>44770</v>
      </c>
    </row>
    <row r="198" spans="2:6" x14ac:dyDescent="0.25">
      <c r="B198" s="73">
        <v>44771</v>
      </c>
      <c r="C198" s="73">
        <v>44771</v>
      </c>
      <c r="D198" s="73">
        <v>44771</v>
      </c>
      <c r="E198" s="73">
        <v>44771</v>
      </c>
      <c r="F198" s="73">
        <v>44771</v>
      </c>
    </row>
    <row r="199" spans="2:6" x14ac:dyDescent="0.25">
      <c r="B199" s="73">
        <v>44802</v>
      </c>
      <c r="C199" s="73">
        <v>44802</v>
      </c>
      <c r="D199" s="73">
        <v>44802</v>
      </c>
      <c r="E199" s="73">
        <v>44802</v>
      </c>
      <c r="F199" s="73">
        <v>44802</v>
      </c>
    </row>
    <row r="200" spans="2:6" x14ac:dyDescent="0.25">
      <c r="B200" s="73">
        <v>44803</v>
      </c>
      <c r="C200" s="73">
        <v>44803</v>
      </c>
      <c r="D200" s="73">
        <v>44803</v>
      </c>
      <c r="E200" s="73">
        <v>44803</v>
      </c>
      <c r="F200" s="73">
        <v>44803</v>
      </c>
    </row>
    <row r="201" spans="2:6" x14ac:dyDescent="0.25">
      <c r="B201" s="73">
        <v>44841</v>
      </c>
      <c r="C201" s="73">
        <v>44841</v>
      </c>
      <c r="D201" s="73">
        <v>44841</v>
      </c>
      <c r="E201" s="73">
        <v>44841</v>
      </c>
      <c r="F201" s="73">
        <v>44841</v>
      </c>
    </row>
    <row r="202" spans="2:6" x14ac:dyDescent="0.25">
      <c r="B202" s="73">
        <v>44842</v>
      </c>
      <c r="C202" s="73">
        <v>44842</v>
      </c>
      <c r="D202" s="73">
        <v>44842</v>
      </c>
      <c r="E202" s="73">
        <v>44842</v>
      </c>
      <c r="F202" s="73">
        <v>44842</v>
      </c>
    </row>
    <row r="203" spans="2:6" x14ac:dyDescent="0.25">
      <c r="B203" s="73">
        <v>44865</v>
      </c>
      <c r="C203" s="73">
        <v>44865</v>
      </c>
      <c r="D203" s="73">
        <v>44865</v>
      </c>
      <c r="E203" s="73">
        <v>44865</v>
      </c>
      <c r="F203" s="73">
        <v>44865</v>
      </c>
    </row>
    <row r="204" spans="2:6" x14ac:dyDescent="0.25">
      <c r="B204" s="73">
        <v>44866</v>
      </c>
      <c r="C204" s="73">
        <v>44866</v>
      </c>
      <c r="D204" s="73">
        <v>44866</v>
      </c>
      <c r="E204" s="73">
        <v>44866</v>
      </c>
      <c r="F204" s="73">
        <v>44866</v>
      </c>
    </row>
    <row r="205" spans="2:6" x14ac:dyDescent="0.25">
      <c r="B205" s="73">
        <v>44903</v>
      </c>
      <c r="C205" s="73">
        <v>44903</v>
      </c>
      <c r="D205" s="73">
        <v>44903</v>
      </c>
      <c r="E205" s="73">
        <v>44903</v>
      </c>
      <c r="F205" s="73">
        <v>44903</v>
      </c>
    </row>
    <row r="206" spans="2:6" x14ac:dyDescent="0.25">
      <c r="B206" s="73">
        <v>44904</v>
      </c>
      <c r="C206" s="73">
        <v>44904</v>
      </c>
      <c r="D206" s="73">
        <v>44904</v>
      </c>
      <c r="E206" s="73">
        <v>44904</v>
      </c>
      <c r="F206" s="73">
        <v>44904</v>
      </c>
    </row>
    <row r="207" spans="2:6" x14ac:dyDescent="0.25">
      <c r="B207" s="73">
        <v>44920</v>
      </c>
      <c r="C207" s="73">
        <v>44920</v>
      </c>
      <c r="D207" s="73">
        <v>44920</v>
      </c>
      <c r="E207" s="73">
        <v>44920</v>
      </c>
      <c r="F207" s="73">
        <v>44920</v>
      </c>
    </row>
    <row r="208" spans="2:6" x14ac:dyDescent="0.25">
      <c r="B208" s="73">
        <v>44921</v>
      </c>
      <c r="C208" s="73">
        <v>44921</v>
      </c>
      <c r="D208" s="73">
        <v>44921</v>
      </c>
      <c r="E208" s="73">
        <v>44921</v>
      </c>
      <c r="F208" s="73">
        <v>44921</v>
      </c>
    </row>
    <row r="209" spans="2:6" x14ac:dyDescent="0.25">
      <c r="B209" s="73">
        <v>44925</v>
      </c>
      <c r="C209" s="73">
        <v>44925</v>
      </c>
      <c r="D209" s="73">
        <v>44925</v>
      </c>
      <c r="E209" s="73">
        <v>44925</v>
      </c>
      <c r="F209" s="73">
        <v>44925</v>
      </c>
    </row>
    <row r="210" spans="2:6" x14ac:dyDescent="0.25">
      <c r="B210" s="73">
        <v>44928</v>
      </c>
      <c r="C210" s="73">
        <v>44928</v>
      </c>
      <c r="D210" s="73">
        <v>44928</v>
      </c>
      <c r="E210" s="73">
        <v>44928</v>
      </c>
      <c r="F210" s="73">
        <v>44928</v>
      </c>
    </row>
    <row r="211" spans="2:6" x14ac:dyDescent="0.25">
      <c r="B211" s="73">
        <v>45022</v>
      </c>
      <c r="C211" s="73">
        <v>45022</v>
      </c>
      <c r="D211" s="73">
        <v>45022</v>
      </c>
      <c r="E211" s="73">
        <v>45022</v>
      </c>
      <c r="F211" s="73">
        <v>45022</v>
      </c>
    </row>
    <row r="212" spans="2:6" x14ac:dyDescent="0.25">
      <c r="B212" s="73">
        <v>45023</v>
      </c>
      <c r="C212" s="73">
        <v>45023</v>
      </c>
      <c r="D212" s="73">
        <v>45023</v>
      </c>
      <c r="E212" s="73">
        <v>45023</v>
      </c>
      <c r="F212" s="73">
        <v>45023</v>
      </c>
    </row>
    <row r="213" spans="2:6" x14ac:dyDescent="0.25">
      <c r="B213" s="73">
        <v>45025</v>
      </c>
      <c r="C213" s="73">
        <v>45025</v>
      </c>
      <c r="D213" s="73">
        <v>45025</v>
      </c>
      <c r="E213" s="73">
        <v>45025</v>
      </c>
      <c r="F213" s="73">
        <v>45025</v>
      </c>
    </row>
    <row r="214" spans="2:6" x14ac:dyDescent="0.25">
      <c r="B214" s="73">
        <v>45044</v>
      </c>
      <c r="C214" s="73">
        <v>45044</v>
      </c>
      <c r="D214" s="73">
        <v>45044</v>
      </c>
      <c r="E214" s="73">
        <v>45044</v>
      </c>
      <c r="F214" s="73">
        <v>45044</v>
      </c>
    </row>
    <row r="215" spans="2:6" x14ac:dyDescent="0.25">
      <c r="B215" s="73">
        <v>45047</v>
      </c>
      <c r="C215" s="73">
        <v>45047</v>
      </c>
      <c r="D215" s="73">
        <v>45047</v>
      </c>
      <c r="E215" s="73">
        <v>45047</v>
      </c>
      <c r="F215" s="73">
        <v>45047</v>
      </c>
    </row>
    <row r="216" spans="2:6" x14ac:dyDescent="0.25">
      <c r="B216" s="73">
        <v>45106</v>
      </c>
      <c r="C216" s="73">
        <v>45106</v>
      </c>
      <c r="D216" s="73">
        <v>45106</v>
      </c>
      <c r="E216" s="73">
        <v>45106</v>
      </c>
      <c r="F216" s="73">
        <v>45106</v>
      </c>
    </row>
    <row r="217" spans="2:6" x14ac:dyDescent="0.25">
      <c r="B217" s="73">
        <v>45107</v>
      </c>
      <c r="C217" s="73">
        <v>45107</v>
      </c>
      <c r="D217" s="73">
        <v>45107</v>
      </c>
      <c r="E217" s="73">
        <v>45107</v>
      </c>
      <c r="F217" s="73">
        <v>45107</v>
      </c>
    </row>
    <row r="218" spans="2:6" x14ac:dyDescent="0.25">
      <c r="B218" s="73">
        <v>45134</v>
      </c>
      <c r="C218" s="73">
        <v>45134</v>
      </c>
      <c r="D218" s="73">
        <v>45134</v>
      </c>
      <c r="E218" s="73">
        <v>45134</v>
      </c>
      <c r="F218" s="73">
        <v>45134</v>
      </c>
    </row>
    <row r="219" spans="2:6" x14ac:dyDescent="0.25">
      <c r="B219" s="73">
        <v>45135</v>
      </c>
      <c r="C219" s="73">
        <v>45135</v>
      </c>
      <c r="D219" s="73">
        <v>45135</v>
      </c>
      <c r="E219" s="73">
        <v>45135</v>
      </c>
      <c r="F219" s="73">
        <v>45135</v>
      </c>
    </row>
    <row r="220" spans="2:6" x14ac:dyDescent="0.25">
      <c r="B220" s="73">
        <v>45136</v>
      </c>
      <c r="C220" s="73">
        <v>45136</v>
      </c>
      <c r="D220" s="73">
        <v>45136</v>
      </c>
      <c r="E220" s="73">
        <v>45136</v>
      </c>
      <c r="F220" s="73">
        <v>45136</v>
      </c>
    </row>
    <row r="221" spans="2:6" x14ac:dyDescent="0.25">
      <c r="B221" s="73">
        <v>45144</v>
      </c>
      <c r="C221" s="73">
        <v>45144</v>
      </c>
      <c r="D221" s="73">
        <v>45144</v>
      </c>
      <c r="E221" s="73">
        <v>45144</v>
      </c>
      <c r="F221" s="73">
        <v>45144</v>
      </c>
    </row>
    <row r="222" spans="2:6" x14ac:dyDescent="0.25">
      <c r="B222" s="73">
        <v>45168</v>
      </c>
      <c r="C222" s="73">
        <v>45168</v>
      </c>
      <c r="D222" s="73">
        <v>45168</v>
      </c>
      <c r="E222" s="73">
        <v>45168</v>
      </c>
      <c r="F222" s="73">
        <v>45168</v>
      </c>
    </row>
    <row r="223" spans="2:6" x14ac:dyDescent="0.25">
      <c r="B223" s="73">
        <v>45207</v>
      </c>
      <c r="C223" s="73">
        <v>45207</v>
      </c>
      <c r="D223" s="73">
        <v>45207</v>
      </c>
      <c r="E223" s="73">
        <v>45207</v>
      </c>
      <c r="F223" s="73">
        <v>45207</v>
      </c>
    </row>
    <row r="224" spans="2:6" x14ac:dyDescent="0.25">
      <c r="B224" s="73">
        <v>45208</v>
      </c>
      <c r="C224" s="73">
        <v>45208</v>
      </c>
      <c r="D224" s="73">
        <v>45208</v>
      </c>
      <c r="E224" s="73">
        <v>45208</v>
      </c>
      <c r="F224" s="73">
        <v>45208</v>
      </c>
    </row>
    <row r="225" spans="2:6" x14ac:dyDescent="0.25">
      <c r="B225" s="73">
        <v>45231</v>
      </c>
      <c r="C225" s="73">
        <v>45231</v>
      </c>
      <c r="D225" s="73">
        <v>45231</v>
      </c>
      <c r="E225" s="73">
        <v>45231</v>
      </c>
      <c r="F225" s="73">
        <v>45231</v>
      </c>
    </row>
    <row r="226" spans="2:6" x14ac:dyDescent="0.25">
      <c r="B226" s="73">
        <v>45267</v>
      </c>
      <c r="C226" s="73">
        <v>45267</v>
      </c>
      <c r="D226" s="73">
        <v>45267</v>
      </c>
      <c r="E226" s="73">
        <v>45267</v>
      </c>
      <c r="F226" s="73">
        <v>45267</v>
      </c>
    </row>
    <row r="227" spans="2:6" x14ac:dyDescent="0.25">
      <c r="B227" s="73">
        <v>45268</v>
      </c>
      <c r="C227" s="73">
        <v>45268</v>
      </c>
      <c r="D227" s="73">
        <v>45268</v>
      </c>
      <c r="E227" s="73">
        <v>45268</v>
      </c>
      <c r="F227" s="73">
        <v>45268</v>
      </c>
    </row>
    <row r="228" spans="2:6" x14ac:dyDescent="0.25">
      <c r="B228" s="73">
        <v>45269</v>
      </c>
      <c r="C228" s="73">
        <v>45269</v>
      </c>
      <c r="D228" s="73">
        <v>45269</v>
      </c>
      <c r="E228" s="73">
        <v>45269</v>
      </c>
      <c r="F228" s="73">
        <v>45269</v>
      </c>
    </row>
    <row r="229" spans="2:6" x14ac:dyDescent="0.25">
      <c r="B229" s="73">
        <v>45285</v>
      </c>
      <c r="C229" s="73">
        <v>45285</v>
      </c>
      <c r="D229" s="73">
        <v>45285</v>
      </c>
      <c r="E229" s="73">
        <v>45285</v>
      </c>
      <c r="F229" s="73">
        <v>45285</v>
      </c>
    </row>
    <row r="230" spans="2:6" x14ac:dyDescent="0.25">
      <c r="B230" s="73">
        <v>45286</v>
      </c>
      <c r="C230" s="73">
        <v>45286</v>
      </c>
      <c r="D230" s="73">
        <v>45286</v>
      </c>
      <c r="E230" s="73">
        <v>45286</v>
      </c>
      <c r="F230" s="73">
        <v>45286</v>
      </c>
    </row>
    <row r="231" spans="2:6" x14ac:dyDescent="0.25">
      <c r="B231" s="73">
        <v>45292</v>
      </c>
      <c r="C231" s="73">
        <v>45292</v>
      </c>
      <c r="D231" s="73">
        <v>45292</v>
      </c>
      <c r="E231" s="73">
        <v>45292</v>
      </c>
      <c r="F231" s="73">
        <v>45292</v>
      </c>
    </row>
    <row r="232" spans="2:6" x14ac:dyDescent="0.25">
      <c r="B232" s="73">
        <v>45293</v>
      </c>
      <c r="C232" s="73">
        <v>45293</v>
      </c>
      <c r="D232" s="73">
        <v>45293</v>
      </c>
      <c r="E232" s="73">
        <v>45293</v>
      </c>
      <c r="F232" s="73">
        <v>45293</v>
      </c>
    </row>
    <row r="233" spans="2:6" x14ac:dyDescent="0.25">
      <c r="B233" s="73">
        <v>45379</v>
      </c>
      <c r="C233" s="73">
        <v>45379</v>
      </c>
      <c r="D233" s="73">
        <v>45379</v>
      </c>
      <c r="E233" s="73">
        <v>45379</v>
      </c>
      <c r="F233" s="73">
        <v>45379</v>
      </c>
    </row>
    <row r="234" spans="2:6" x14ac:dyDescent="0.25">
      <c r="B234" s="73">
        <v>45380</v>
      </c>
      <c r="C234" s="73">
        <v>45380</v>
      </c>
      <c r="D234" s="73">
        <v>45380</v>
      </c>
      <c r="E234" s="73">
        <v>45380</v>
      </c>
      <c r="F234" s="73">
        <v>45380</v>
      </c>
    </row>
    <row r="235" spans="2:6" x14ac:dyDescent="0.25">
      <c r="B235" s="73">
        <v>45413</v>
      </c>
      <c r="C235" s="73">
        <v>45413</v>
      </c>
      <c r="D235" s="73">
        <v>45413</v>
      </c>
      <c r="E235" s="73">
        <v>45413</v>
      </c>
      <c r="F235" s="73">
        <v>45413</v>
      </c>
    </row>
    <row r="236" spans="2:6" x14ac:dyDescent="0.25">
      <c r="B236" s="73">
        <v>45450</v>
      </c>
      <c r="C236" s="73">
        <v>45450</v>
      </c>
      <c r="D236" s="73">
        <v>45450</v>
      </c>
      <c r="E236" s="73">
        <v>45450</v>
      </c>
      <c r="F236" s="73">
        <v>45450</v>
      </c>
    </row>
    <row r="237" spans="2:6" x14ac:dyDescent="0.25">
      <c r="B237" s="73">
        <v>45472</v>
      </c>
      <c r="C237" s="73">
        <v>45472</v>
      </c>
      <c r="D237" s="73">
        <v>45472</v>
      </c>
      <c r="E237" s="73">
        <v>45472</v>
      </c>
      <c r="F237" s="73">
        <v>45472</v>
      </c>
    </row>
    <row r="238" spans="2:6" x14ac:dyDescent="0.25">
      <c r="B238" s="73">
        <v>45496</v>
      </c>
      <c r="C238" s="73">
        <v>45496</v>
      </c>
      <c r="D238" s="73">
        <v>45496</v>
      </c>
      <c r="E238" s="73">
        <v>45496</v>
      </c>
      <c r="F238" s="73">
        <v>45496</v>
      </c>
    </row>
    <row r="239" spans="2:6" x14ac:dyDescent="0.25">
      <c r="B239" s="73">
        <v>45499</v>
      </c>
      <c r="C239" s="73">
        <v>45499</v>
      </c>
      <c r="D239" s="73">
        <v>45499</v>
      </c>
      <c r="E239" s="73">
        <v>45499</v>
      </c>
      <c r="F239" s="73">
        <v>45499</v>
      </c>
    </row>
    <row r="240" spans="2:6" x14ac:dyDescent="0.25">
      <c r="B240" s="73">
        <v>45502</v>
      </c>
      <c r="C240" s="73">
        <v>45502</v>
      </c>
      <c r="D240" s="73">
        <v>45502</v>
      </c>
      <c r="E240" s="73">
        <v>45502</v>
      </c>
      <c r="F240" s="73">
        <v>45502</v>
      </c>
    </row>
    <row r="241" spans="2:6" x14ac:dyDescent="0.25">
      <c r="B241" s="73">
        <v>45510</v>
      </c>
      <c r="C241" s="73">
        <v>45510</v>
      </c>
      <c r="D241" s="73">
        <v>45510</v>
      </c>
      <c r="E241" s="73">
        <v>45510</v>
      </c>
      <c r="F241" s="73">
        <v>45510</v>
      </c>
    </row>
    <row r="242" spans="2:6" x14ac:dyDescent="0.25">
      <c r="B242" s="73">
        <v>45534</v>
      </c>
      <c r="C242" s="73">
        <v>45534</v>
      </c>
      <c r="D242" s="73">
        <v>45534</v>
      </c>
      <c r="E242" s="73">
        <v>45534</v>
      </c>
      <c r="F242" s="73">
        <v>45534</v>
      </c>
    </row>
    <row r="243" spans="2:6" x14ac:dyDescent="0.25">
      <c r="B243" s="73">
        <v>45572</v>
      </c>
      <c r="C243" s="73">
        <v>45572</v>
      </c>
      <c r="D243" s="73">
        <v>45572</v>
      </c>
      <c r="E243" s="73">
        <v>45572</v>
      </c>
      <c r="F243" s="73">
        <v>45572</v>
      </c>
    </row>
    <row r="244" spans="2:6" x14ac:dyDescent="0.25">
      <c r="B244" s="73">
        <v>45573</v>
      </c>
      <c r="C244" s="73">
        <v>45573</v>
      </c>
      <c r="D244" s="73">
        <v>45573</v>
      </c>
      <c r="E244" s="73">
        <v>45573</v>
      </c>
      <c r="F244" s="73">
        <v>45573</v>
      </c>
    </row>
    <row r="245" spans="2:6" x14ac:dyDescent="0.25">
      <c r="B245" s="73">
        <v>45597</v>
      </c>
      <c r="C245" s="73">
        <v>45597</v>
      </c>
      <c r="D245" s="73">
        <v>45597</v>
      </c>
      <c r="E245" s="73">
        <v>45597</v>
      </c>
      <c r="F245" s="73">
        <v>45597</v>
      </c>
    </row>
    <row r="246" spans="2:6" x14ac:dyDescent="0.25">
      <c r="B246" s="73">
        <v>45632</v>
      </c>
      <c r="C246" s="73">
        <v>45632</v>
      </c>
      <c r="D246" s="73">
        <v>45632</v>
      </c>
      <c r="E246" s="73">
        <v>45632</v>
      </c>
      <c r="F246" s="73">
        <v>45632</v>
      </c>
    </row>
    <row r="247" spans="2:6" x14ac:dyDescent="0.25">
      <c r="B247" s="73">
        <v>45635</v>
      </c>
      <c r="C247" s="73">
        <v>45635</v>
      </c>
      <c r="D247" s="73">
        <v>45635</v>
      </c>
      <c r="E247" s="73">
        <v>45635</v>
      </c>
      <c r="F247" s="73">
        <v>45635</v>
      </c>
    </row>
    <row r="248" spans="2:6" x14ac:dyDescent="0.25">
      <c r="B248" s="73">
        <v>45649</v>
      </c>
      <c r="C248" s="73">
        <v>45649</v>
      </c>
      <c r="D248" s="73">
        <v>45649</v>
      </c>
      <c r="E248" s="73">
        <v>45649</v>
      </c>
      <c r="F248" s="73">
        <v>45649</v>
      </c>
    </row>
    <row r="249" spans="2:6" x14ac:dyDescent="0.25">
      <c r="B249" s="73">
        <v>45650</v>
      </c>
      <c r="C249" s="73">
        <v>45650</v>
      </c>
      <c r="D249" s="73">
        <v>45650</v>
      </c>
      <c r="E249" s="73">
        <v>45650</v>
      </c>
      <c r="F249" s="73">
        <v>45650</v>
      </c>
    </row>
    <row r="250" spans="2:6" x14ac:dyDescent="0.25">
      <c r="B250" s="73">
        <v>45651</v>
      </c>
      <c r="C250" s="73">
        <v>45651</v>
      </c>
      <c r="D250" s="73">
        <v>45651</v>
      </c>
      <c r="E250" s="73">
        <v>45651</v>
      </c>
      <c r="F250" s="73">
        <v>45651</v>
      </c>
    </row>
    <row r="251" spans="2:6" x14ac:dyDescent="0.25">
      <c r="B251" s="73">
        <v>45656</v>
      </c>
      <c r="C251" s="73">
        <v>45656</v>
      </c>
      <c r="D251" s="73">
        <v>45656</v>
      </c>
      <c r="E251" s="73">
        <v>45656</v>
      </c>
      <c r="F251" s="73">
        <v>45656</v>
      </c>
    </row>
    <row r="252" spans="2:6" x14ac:dyDescent="0.25">
      <c r="B252" s="73">
        <v>45657</v>
      </c>
      <c r="C252" s="73">
        <v>45657</v>
      </c>
      <c r="D252" s="73">
        <v>45657</v>
      </c>
      <c r="E252" s="73">
        <v>45657</v>
      </c>
      <c r="F252" s="73">
        <v>45657</v>
      </c>
    </row>
    <row r="253" spans="2:6" x14ac:dyDescent="0.25">
      <c r="B253" s="73">
        <v>45658</v>
      </c>
      <c r="C253" s="73">
        <v>45658</v>
      </c>
      <c r="D253" s="73">
        <v>45658</v>
      </c>
      <c r="E253" s="73">
        <v>45658</v>
      </c>
      <c r="F253" s="73">
        <v>45658</v>
      </c>
    </row>
    <row r="254" spans="2:6" x14ac:dyDescent="0.25">
      <c r="B254" s="73">
        <v>45764</v>
      </c>
      <c r="C254" s="73">
        <v>45764</v>
      </c>
      <c r="D254" s="73">
        <v>45764</v>
      </c>
      <c r="E254" s="73">
        <v>45764</v>
      </c>
      <c r="F254" s="73">
        <v>45764</v>
      </c>
    </row>
    <row r="255" spans="2:6" x14ac:dyDescent="0.25">
      <c r="B255" s="73">
        <v>45765</v>
      </c>
      <c r="C255" s="73">
        <v>45765</v>
      </c>
      <c r="D255" s="73">
        <v>45765</v>
      </c>
      <c r="E255" s="73">
        <v>45765</v>
      </c>
      <c r="F255" s="73">
        <v>45765</v>
      </c>
    </row>
    <row r="256" spans="2:6" x14ac:dyDescent="0.25">
      <c r="B256" s="73">
        <v>45778</v>
      </c>
      <c r="C256" s="73">
        <v>45778</v>
      </c>
      <c r="D256" s="73">
        <v>45778</v>
      </c>
      <c r="E256" s="73">
        <v>45778</v>
      </c>
      <c r="F256" s="73">
        <v>45778</v>
      </c>
    </row>
    <row r="257" spans="2:6" x14ac:dyDescent="0.25">
      <c r="B257" s="73">
        <v>45779</v>
      </c>
      <c r="C257" s="73">
        <v>45779</v>
      </c>
      <c r="D257" s="73">
        <v>45779</v>
      </c>
      <c r="E257" s="73">
        <v>45779</v>
      </c>
      <c r="F257" s="73">
        <v>45779</v>
      </c>
    </row>
    <row r="258" spans="2:6" x14ac:dyDescent="0.25">
      <c r="B258" s="73">
        <v>45815</v>
      </c>
      <c r="C258" s="73">
        <v>45815</v>
      </c>
      <c r="D258" s="73">
        <v>45815</v>
      </c>
      <c r="E258" s="73">
        <v>45815</v>
      </c>
      <c r="F258" s="73">
        <v>45815</v>
      </c>
    </row>
    <row r="259" spans="2:6" x14ac:dyDescent="0.25">
      <c r="B259" s="73">
        <v>45837</v>
      </c>
      <c r="C259" s="73">
        <v>45837</v>
      </c>
      <c r="D259" s="73">
        <v>45837</v>
      </c>
      <c r="E259" s="73">
        <v>45837</v>
      </c>
      <c r="F259" s="73">
        <v>45837</v>
      </c>
    </row>
    <row r="260" spans="2:6" x14ac:dyDescent="0.25">
      <c r="B260" s="73">
        <v>45861</v>
      </c>
      <c r="C260" s="73">
        <v>45861</v>
      </c>
      <c r="D260" s="73">
        <v>45861</v>
      </c>
      <c r="E260" s="73">
        <v>45861</v>
      </c>
      <c r="F260" s="73">
        <v>45861</v>
      </c>
    </row>
    <row r="261" spans="2:6" x14ac:dyDescent="0.25">
      <c r="B261" s="73">
        <v>45866</v>
      </c>
      <c r="C261" s="73">
        <v>45866</v>
      </c>
      <c r="D261" s="73">
        <v>45866</v>
      </c>
      <c r="E261" s="73">
        <v>45866</v>
      </c>
      <c r="F261" s="73">
        <v>45866</v>
      </c>
    </row>
    <row r="262" spans="2:6" x14ac:dyDescent="0.25">
      <c r="B262" s="73">
        <v>45867</v>
      </c>
      <c r="C262" s="73">
        <v>45867</v>
      </c>
      <c r="D262" s="73">
        <v>45867</v>
      </c>
      <c r="E262" s="73">
        <v>45867</v>
      </c>
      <c r="F262" s="73">
        <v>45867</v>
      </c>
    </row>
    <row r="263" spans="2:6" x14ac:dyDescent="0.25">
      <c r="B263" s="73">
        <v>45875</v>
      </c>
      <c r="C263" s="73">
        <v>45875</v>
      </c>
      <c r="D263" s="73">
        <v>45875</v>
      </c>
      <c r="E263" s="73">
        <v>45875</v>
      </c>
      <c r="F263" s="73">
        <v>45875</v>
      </c>
    </row>
    <row r="264" spans="2:6" x14ac:dyDescent="0.25">
      <c r="B264" s="73">
        <v>45899</v>
      </c>
      <c r="C264" s="73">
        <v>45899</v>
      </c>
      <c r="D264" s="73">
        <v>45899</v>
      </c>
      <c r="E264" s="73">
        <v>45899</v>
      </c>
      <c r="F264" s="73">
        <v>45899</v>
      </c>
    </row>
    <row r="265" spans="2:6" x14ac:dyDescent="0.25">
      <c r="B265" s="73">
        <v>45938</v>
      </c>
      <c r="C265" s="73">
        <v>45938</v>
      </c>
      <c r="D265" s="73">
        <v>45938</v>
      </c>
      <c r="E265" s="73">
        <v>45938</v>
      </c>
      <c r="F265" s="73">
        <v>45938</v>
      </c>
    </row>
    <row r="266" spans="2:6" x14ac:dyDescent="0.25">
      <c r="B266" s="73">
        <v>45962</v>
      </c>
      <c r="C266" s="73">
        <v>45962</v>
      </c>
      <c r="D266" s="73">
        <v>45962</v>
      </c>
      <c r="E266" s="73">
        <v>45962</v>
      </c>
      <c r="F266" s="73">
        <v>45962</v>
      </c>
    </row>
    <row r="267" spans="2:6" x14ac:dyDescent="0.25">
      <c r="B267" s="73">
        <v>45999</v>
      </c>
      <c r="C267" s="73">
        <v>45999</v>
      </c>
      <c r="D267" s="73">
        <v>45999</v>
      </c>
      <c r="E267" s="73">
        <v>45999</v>
      </c>
      <c r="F267" s="73">
        <v>45999</v>
      </c>
    </row>
    <row r="268" spans="2:6" x14ac:dyDescent="0.25">
      <c r="B268" s="73">
        <v>46000</v>
      </c>
      <c r="C268" s="73">
        <v>46000</v>
      </c>
      <c r="D268" s="73">
        <v>46000</v>
      </c>
      <c r="E268" s="73">
        <v>46000</v>
      </c>
      <c r="F268" s="73">
        <v>46000</v>
      </c>
    </row>
    <row r="269" spans="2:6" x14ac:dyDescent="0.25">
      <c r="B269" s="73">
        <v>46016</v>
      </c>
      <c r="C269" s="73">
        <v>46016</v>
      </c>
      <c r="D269" s="73">
        <v>46016</v>
      </c>
      <c r="E269" s="73">
        <v>46016</v>
      </c>
      <c r="F269" s="73">
        <v>46016</v>
      </c>
    </row>
    <row r="270" spans="2:6" x14ac:dyDescent="0.25">
      <c r="B270" s="73">
        <v>46017</v>
      </c>
      <c r="C270" s="73">
        <v>46017</v>
      </c>
      <c r="D270" s="73">
        <v>46017</v>
      </c>
      <c r="E270" s="73">
        <v>46017</v>
      </c>
      <c r="F270" s="73">
        <v>46017</v>
      </c>
    </row>
    <row r="271" spans="2:6" x14ac:dyDescent="0.25">
      <c r="B271" s="73">
        <v>46023</v>
      </c>
      <c r="C271" s="73">
        <v>46023</v>
      </c>
      <c r="D271" s="73">
        <v>46023</v>
      </c>
      <c r="E271" s="73">
        <v>46023</v>
      </c>
      <c r="F271" s="73">
        <v>46023</v>
      </c>
    </row>
    <row r="272" spans="2:6" x14ac:dyDescent="0.25">
      <c r="B272" s="73">
        <v>46024</v>
      </c>
      <c r="C272" s="73">
        <v>46024</v>
      </c>
      <c r="D272" s="73">
        <v>46024</v>
      </c>
      <c r="E272" s="73">
        <v>46024</v>
      </c>
      <c r="F272" s="73">
        <v>46024</v>
      </c>
    </row>
    <row r="273" spans="2:6" x14ac:dyDescent="0.25">
      <c r="B273" s="73">
        <v>46115</v>
      </c>
      <c r="C273" s="73">
        <v>46115</v>
      </c>
      <c r="D273" s="73">
        <v>46115</v>
      </c>
      <c r="E273" s="73">
        <v>46115</v>
      </c>
      <c r="F273" s="73">
        <v>46115</v>
      </c>
    </row>
    <row r="274" spans="2:6" x14ac:dyDescent="0.25">
      <c r="B274" s="73">
        <v>46143</v>
      </c>
      <c r="C274" s="73">
        <v>46143</v>
      </c>
      <c r="D274" s="73">
        <v>46143</v>
      </c>
      <c r="E274" s="73">
        <v>46143</v>
      </c>
      <c r="F274" s="73">
        <v>46143</v>
      </c>
    </row>
    <row r="275" spans="2:6" x14ac:dyDescent="0.25">
      <c r="B275" s="73">
        <v>46180</v>
      </c>
      <c r="C275" s="73">
        <v>46180</v>
      </c>
      <c r="D275" s="73">
        <v>46180</v>
      </c>
      <c r="E275" s="73">
        <v>46180</v>
      </c>
      <c r="F275" s="73">
        <v>46180</v>
      </c>
    </row>
    <row r="276" spans="2:6" x14ac:dyDescent="0.25">
      <c r="B276" s="73">
        <v>46202</v>
      </c>
      <c r="C276" s="73">
        <v>46202</v>
      </c>
      <c r="D276" s="73">
        <v>46202</v>
      </c>
      <c r="E276" s="73">
        <v>46202</v>
      </c>
      <c r="F276" s="73">
        <v>46202</v>
      </c>
    </row>
    <row r="277" spans="2:6" x14ac:dyDescent="0.25">
      <c r="B277" s="73">
        <v>46226</v>
      </c>
      <c r="C277" s="73">
        <v>46226</v>
      </c>
      <c r="D277" s="73">
        <v>46226</v>
      </c>
      <c r="E277" s="73">
        <v>46226</v>
      </c>
      <c r="F277" s="73">
        <v>46226</v>
      </c>
    </row>
    <row r="278" spans="2:6" x14ac:dyDescent="0.25">
      <c r="B278" s="73">
        <v>46231</v>
      </c>
      <c r="C278" s="73">
        <v>46231</v>
      </c>
      <c r="D278" s="73">
        <v>46231</v>
      </c>
      <c r="E278" s="73">
        <v>46231</v>
      </c>
      <c r="F278" s="73">
        <v>46231</v>
      </c>
    </row>
    <row r="279" spans="2:6" x14ac:dyDescent="0.25">
      <c r="B279" s="73">
        <v>46232</v>
      </c>
      <c r="C279" s="73">
        <v>46232</v>
      </c>
      <c r="D279" s="73">
        <v>46232</v>
      </c>
      <c r="E279" s="73">
        <v>46232</v>
      </c>
      <c r="F279" s="73">
        <v>46232</v>
      </c>
    </row>
    <row r="280" spans="2:6" x14ac:dyDescent="0.25">
      <c r="B280" s="73">
        <v>46240</v>
      </c>
      <c r="C280" s="73">
        <v>46240</v>
      </c>
      <c r="D280" s="73">
        <v>46240</v>
      </c>
      <c r="E280" s="73">
        <v>46240</v>
      </c>
      <c r="F280" s="73">
        <v>46240</v>
      </c>
    </row>
    <row r="281" spans="2:6" x14ac:dyDescent="0.25">
      <c r="B281" s="73">
        <v>46264</v>
      </c>
      <c r="C281" s="73">
        <v>46264</v>
      </c>
      <c r="D281" s="73">
        <v>46264</v>
      </c>
      <c r="E281" s="73">
        <v>46264</v>
      </c>
      <c r="F281" s="73">
        <v>46264</v>
      </c>
    </row>
    <row r="282" spans="2:6" x14ac:dyDescent="0.25">
      <c r="B282" s="73">
        <v>46303</v>
      </c>
      <c r="C282" s="73">
        <v>46303</v>
      </c>
      <c r="D282" s="73">
        <v>46303</v>
      </c>
      <c r="E282" s="73">
        <v>46303</v>
      </c>
      <c r="F282" s="73">
        <v>46303</v>
      </c>
    </row>
    <row r="283" spans="2:6" x14ac:dyDescent="0.25">
      <c r="B283" s="73">
        <v>46327</v>
      </c>
      <c r="C283" s="73">
        <v>46327</v>
      </c>
      <c r="D283" s="73">
        <v>46327</v>
      </c>
      <c r="E283" s="73">
        <v>46327</v>
      </c>
      <c r="F283" s="73">
        <v>46327</v>
      </c>
    </row>
    <row r="284" spans="2:6" x14ac:dyDescent="0.25">
      <c r="B284" s="73">
        <v>46364</v>
      </c>
      <c r="C284" s="73">
        <v>46364</v>
      </c>
      <c r="D284" s="73">
        <v>46364</v>
      </c>
      <c r="E284" s="73">
        <v>46364</v>
      </c>
      <c r="F284" s="73">
        <v>46364</v>
      </c>
    </row>
    <row r="285" spans="2:6" x14ac:dyDescent="0.25">
      <c r="B285" s="73">
        <v>46365</v>
      </c>
      <c r="C285" s="73">
        <v>46365</v>
      </c>
      <c r="D285" s="73">
        <v>46365</v>
      </c>
      <c r="E285" s="73">
        <v>46365</v>
      </c>
      <c r="F285" s="73">
        <v>46365</v>
      </c>
    </row>
    <row r="286" spans="2:6" x14ac:dyDescent="0.25">
      <c r="B286" s="73">
        <v>46381</v>
      </c>
      <c r="C286" s="73">
        <v>46381</v>
      </c>
      <c r="D286" s="73">
        <v>46381</v>
      </c>
      <c r="E286" s="73">
        <v>46381</v>
      </c>
      <c r="F286" s="73">
        <v>46381</v>
      </c>
    </row>
  </sheetData>
  <conditionalFormatting sqref="G28:I28">
    <cfRule type="cellIs" priority="2" operator="equal">
      <formula>$B$8</formula>
    </cfRule>
  </conditionalFormatting>
  <conditionalFormatting sqref="W19">
    <cfRule type="cellIs" priority="1" operator="equal">
      <formula>$B$15</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98"/>
  <sheetViews>
    <sheetView showGridLines="0" workbookViewId="0">
      <pane ySplit="6" topLeftCell="A284" activePane="bottomLeft" state="frozen"/>
      <selection pane="bottomLeft" activeCell="B298" sqref="B298"/>
    </sheetView>
  </sheetViews>
  <sheetFormatPr baseColWidth="10" defaultColWidth="11.42578125" defaultRowHeight="16.5" x14ac:dyDescent="0.3"/>
  <cols>
    <col min="1" max="1" width="1.7109375" style="168" customWidth="1"/>
    <col min="2" max="2" width="25.7109375" style="73" bestFit="1" customWidth="1"/>
    <col min="3" max="3" width="25.7109375" style="168" bestFit="1" customWidth="1"/>
    <col min="4" max="4" width="34" style="174" customWidth="1"/>
    <col min="5" max="16384" width="11.42578125" style="168"/>
  </cols>
  <sheetData>
    <row r="1" spans="2:4" customFormat="1" ht="15.75" x14ac:dyDescent="0.25">
      <c r="B1" s="175" t="s">
        <v>84</v>
      </c>
    </row>
    <row r="2" spans="2:4" customFormat="1" ht="6" customHeight="1" x14ac:dyDescent="0.25">
      <c r="B2" s="175"/>
    </row>
    <row r="3" spans="2:4" customFormat="1" ht="18" x14ac:dyDescent="0.25">
      <c r="B3" s="176" t="s">
        <v>85</v>
      </c>
    </row>
    <row r="4" spans="2:4" customFormat="1" ht="18" x14ac:dyDescent="0.25">
      <c r="B4" s="176" t="s">
        <v>86</v>
      </c>
    </row>
    <row r="5" spans="2:4" customFormat="1" ht="4.5" customHeight="1" thickBot="1" x14ac:dyDescent="0.3">
      <c r="B5" s="73"/>
    </row>
    <row r="6" spans="2:4" ht="17.25" thickBot="1" x14ac:dyDescent="0.35">
      <c r="B6" s="167" t="s">
        <v>116</v>
      </c>
      <c r="C6" s="166" t="s">
        <v>117</v>
      </c>
      <c r="D6" s="170" t="s">
        <v>83</v>
      </c>
    </row>
    <row r="7" spans="2:4" x14ac:dyDescent="0.3">
      <c r="B7" s="162">
        <v>42005</v>
      </c>
      <c r="C7" s="162">
        <v>42005</v>
      </c>
      <c r="D7" s="171"/>
    </row>
    <row r="8" spans="2:4" x14ac:dyDescent="0.3">
      <c r="B8" s="163">
        <v>42006</v>
      </c>
      <c r="C8" s="163">
        <v>42006</v>
      </c>
      <c r="D8" s="171"/>
    </row>
    <row r="9" spans="2:4" x14ac:dyDescent="0.3">
      <c r="B9" s="163">
        <v>42096</v>
      </c>
      <c r="C9" s="163">
        <v>42096</v>
      </c>
      <c r="D9" s="171"/>
    </row>
    <row r="10" spans="2:4" x14ac:dyDescent="0.3">
      <c r="B10" s="163">
        <v>42097</v>
      </c>
      <c r="C10" s="163">
        <v>42097</v>
      </c>
      <c r="D10" s="171"/>
    </row>
    <row r="11" spans="2:4" x14ac:dyDescent="0.3">
      <c r="B11" s="163">
        <v>42125</v>
      </c>
      <c r="C11" s="163">
        <v>42125</v>
      </c>
      <c r="D11" s="171"/>
    </row>
    <row r="12" spans="2:4" x14ac:dyDescent="0.3">
      <c r="B12" s="163">
        <v>42184</v>
      </c>
      <c r="C12" s="163">
        <v>42184</v>
      </c>
      <c r="D12" s="171"/>
    </row>
    <row r="13" spans="2:4" x14ac:dyDescent="0.3">
      <c r="B13" s="163">
        <v>42213</v>
      </c>
      <c r="C13" s="163">
        <v>42213</v>
      </c>
      <c r="D13" s="171"/>
    </row>
    <row r="14" spans="2:4" x14ac:dyDescent="0.3">
      <c r="B14" s="163">
        <v>42214</v>
      </c>
      <c r="C14" s="163">
        <v>42214</v>
      </c>
      <c r="D14" s="171"/>
    </row>
    <row r="15" spans="2:4" x14ac:dyDescent="0.3">
      <c r="B15" s="163">
        <v>42246</v>
      </c>
      <c r="C15" s="163">
        <v>42246</v>
      </c>
      <c r="D15" s="171"/>
    </row>
    <row r="16" spans="2:4" x14ac:dyDescent="0.3">
      <c r="B16" s="163">
        <v>42285</v>
      </c>
      <c r="C16" s="163">
        <v>42285</v>
      </c>
      <c r="D16" s="171"/>
    </row>
    <row r="17" spans="2:4" x14ac:dyDescent="0.3">
      <c r="B17" s="164">
        <v>42286</v>
      </c>
      <c r="C17" s="169"/>
      <c r="D17" s="171"/>
    </row>
    <row r="18" spans="2:4" x14ac:dyDescent="0.3">
      <c r="B18" s="163">
        <v>42309</v>
      </c>
      <c r="C18" s="163">
        <v>42309</v>
      </c>
      <c r="D18" s="171"/>
    </row>
    <row r="19" spans="2:4" x14ac:dyDescent="0.3">
      <c r="B19" s="163">
        <v>42346</v>
      </c>
      <c r="C19" s="163">
        <v>42346</v>
      </c>
      <c r="D19" s="171"/>
    </row>
    <row r="20" spans="2:4" ht="17.25" thickBot="1" x14ac:dyDescent="0.35">
      <c r="B20" s="163">
        <v>42363</v>
      </c>
      <c r="C20" s="163">
        <v>42363</v>
      </c>
      <c r="D20" s="171"/>
    </row>
    <row r="21" spans="2:4" x14ac:dyDescent="0.3">
      <c r="B21" s="162">
        <v>42370</v>
      </c>
      <c r="C21" s="162">
        <v>42370</v>
      </c>
      <c r="D21" s="172"/>
    </row>
    <row r="22" spans="2:4" x14ac:dyDescent="0.3">
      <c r="B22" s="163">
        <v>42453</v>
      </c>
      <c r="C22" s="163">
        <v>42453</v>
      </c>
      <c r="D22" s="171"/>
    </row>
    <row r="23" spans="2:4" x14ac:dyDescent="0.3">
      <c r="B23" s="163">
        <v>42454</v>
      </c>
      <c r="C23" s="163">
        <v>42454</v>
      </c>
      <c r="D23" s="171"/>
    </row>
    <row r="24" spans="2:4" x14ac:dyDescent="0.3">
      <c r="B24" s="163">
        <v>42491</v>
      </c>
      <c r="C24" s="163">
        <v>42491</v>
      </c>
      <c r="D24" s="171"/>
    </row>
    <row r="25" spans="2:4" x14ac:dyDescent="0.3">
      <c r="B25" s="163">
        <v>42550</v>
      </c>
      <c r="C25" s="163">
        <v>42550</v>
      </c>
      <c r="D25" s="171"/>
    </row>
    <row r="26" spans="2:4" x14ac:dyDescent="0.3">
      <c r="B26" s="163">
        <v>42579</v>
      </c>
      <c r="C26" s="163">
        <v>42579</v>
      </c>
      <c r="D26" s="171"/>
    </row>
    <row r="27" spans="2:4" x14ac:dyDescent="0.3">
      <c r="B27" s="163">
        <v>42580</v>
      </c>
      <c r="C27" s="163">
        <v>42580</v>
      </c>
      <c r="D27" s="171"/>
    </row>
    <row r="28" spans="2:4" x14ac:dyDescent="0.3">
      <c r="B28" s="163">
        <v>42612</v>
      </c>
      <c r="C28" s="163">
        <v>42612</v>
      </c>
      <c r="D28" s="171"/>
    </row>
    <row r="29" spans="2:4" x14ac:dyDescent="0.3">
      <c r="B29" s="163">
        <v>42651</v>
      </c>
      <c r="C29" s="163">
        <v>42651</v>
      </c>
      <c r="D29" s="171"/>
    </row>
    <row r="30" spans="2:4" x14ac:dyDescent="0.3">
      <c r="B30" s="163">
        <v>42675</v>
      </c>
      <c r="C30" s="163">
        <v>42675</v>
      </c>
      <c r="D30" s="171"/>
    </row>
    <row r="31" spans="2:4" x14ac:dyDescent="0.3">
      <c r="B31" s="164">
        <v>42691</v>
      </c>
      <c r="C31" s="169"/>
      <c r="D31" s="171"/>
    </row>
    <row r="32" spans="2:4" x14ac:dyDescent="0.3">
      <c r="B32" s="164">
        <v>42692</v>
      </c>
      <c r="C32" s="169"/>
      <c r="D32" s="171"/>
    </row>
    <row r="33" spans="2:4" x14ac:dyDescent="0.3">
      <c r="B33" s="164">
        <v>42693</v>
      </c>
      <c r="C33" s="169"/>
      <c r="D33" s="171"/>
    </row>
    <row r="34" spans="2:4" x14ac:dyDescent="0.3">
      <c r="B34" s="163">
        <v>42712</v>
      </c>
      <c r="C34" s="163">
        <v>42712</v>
      </c>
      <c r="D34" s="171"/>
    </row>
    <row r="35" spans="2:4" ht="17.25" thickBot="1" x14ac:dyDescent="0.35">
      <c r="B35" s="165">
        <v>42729</v>
      </c>
      <c r="C35" s="165">
        <v>42729</v>
      </c>
      <c r="D35" s="173"/>
    </row>
    <row r="36" spans="2:4" x14ac:dyDescent="0.3">
      <c r="B36" s="162">
        <v>42736</v>
      </c>
      <c r="C36" s="162">
        <v>42736</v>
      </c>
      <c r="D36" s="172"/>
    </row>
    <row r="37" spans="2:4" x14ac:dyDescent="0.3">
      <c r="B37" s="163">
        <v>42838</v>
      </c>
      <c r="C37" s="163">
        <v>42838</v>
      </c>
      <c r="D37" s="171"/>
    </row>
    <row r="38" spans="2:4" x14ac:dyDescent="0.3">
      <c r="B38" s="163">
        <v>42839</v>
      </c>
      <c r="C38" s="163">
        <v>42839</v>
      </c>
      <c r="D38" s="171"/>
    </row>
    <row r="39" spans="2:4" x14ac:dyDescent="0.3">
      <c r="B39" s="163">
        <v>42841</v>
      </c>
      <c r="C39" s="163">
        <v>42841</v>
      </c>
      <c r="D39" s="171"/>
    </row>
    <row r="40" spans="2:4" x14ac:dyDescent="0.3">
      <c r="B40" s="163">
        <v>42856</v>
      </c>
      <c r="C40" s="163">
        <v>42856</v>
      </c>
      <c r="D40" s="171"/>
    </row>
    <row r="41" spans="2:4" x14ac:dyDescent="0.3">
      <c r="B41" s="163">
        <v>42915</v>
      </c>
      <c r="C41" s="163">
        <v>42915</v>
      </c>
      <c r="D41" s="171"/>
    </row>
    <row r="42" spans="2:4" x14ac:dyDescent="0.3">
      <c r="B42" s="186">
        <v>42916</v>
      </c>
      <c r="C42" s="186">
        <v>42916</v>
      </c>
      <c r="D42" s="188" t="s">
        <v>82</v>
      </c>
    </row>
    <row r="43" spans="2:4" x14ac:dyDescent="0.3">
      <c r="B43" s="186">
        <v>42943</v>
      </c>
      <c r="C43" s="186">
        <v>42943</v>
      </c>
      <c r="D43" s="188" t="s">
        <v>82</v>
      </c>
    </row>
    <row r="44" spans="2:4" x14ac:dyDescent="0.3">
      <c r="B44" s="163">
        <v>42944</v>
      </c>
      <c r="C44" s="163">
        <v>42944</v>
      </c>
      <c r="D44" s="171"/>
    </row>
    <row r="45" spans="2:4" x14ac:dyDescent="0.3">
      <c r="B45" s="163">
        <v>42945</v>
      </c>
      <c r="C45" s="163">
        <v>42945</v>
      </c>
      <c r="D45" s="171"/>
    </row>
    <row r="46" spans="2:4" x14ac:dyDescent="0.3">
      <c r="B46" s="163">
        <v>42977</v>
      </c>
      <c r="C46" s="163">
        <v>42977</v>
      </c>
      <c r="D46" s="171"/>
    </row>
    <row r="47" spans="2:4" x14ac:dyDescent="0.3">
      <c r="B47" s="163">
        <v>43016</v>
      </c>
      <c r="C47" s="163">
        <v>43016</v>
      </c>
      <c r="D47" s="171"/>
    </row>
    <row r="48" spans="2:4" x14ac:dyDescent="0.3">
      <c r="B48" s="163">
        <v>43040</v>
      </c>
      <c r="C48" s="163">
        <v>43040</v>
      </c>
      <c r="D48" s="171"/>
    </row>
    <row r="49" spans="2:4" x14ac:dyDescent="0.3">
      <c r="B49" s="186">
        <v>43055</v>
      </c>
      <c r="C49" s="186">
        <v>43055</v>
      </c>
      <c r="D49" s="188" t="s">
        <v>82</v>
      </c>
    </row>
    <row r="50" spans="2:4" x14ac:dyDescent="0.3">
      <c r="B50" s="163">
        <v>43077</v>
      </c>
      <c r="C50" s="163">
        <v>43077</v>
      </c>
      <c r="D50" s="171"/>
    </row>
    <row r="51" spans="2:4" ht="17.25" thickBot="1" x14ac:dyDescent="0.35">
      <c r="B51" s="163">
        <v>43094</v>
      </c>
      <c r="C51" s="163">
        <v>43094</v>
      </c>
      <c r="D51" s="171"/>
    </row>
    <row r="52" spans="2:4" x14ac:dyDescent="0.3">
      <c r="B52" s="179">
        <v>43101</v>
      </c>
      <c r="C52" s="179">
        <v>43101</v>
      </c>
      <c r="D52" s="172"/>
    </row>
    <row r="53" spans="2:4" x14ac:dyDescent="0.3">
      <c r="B53" s="189">
        <v>43102</v>
      </c>
      <c r="C53" s="189">
        <v>43102</v>
      </c>
      <c r="D53" s="188" t="s">
        <v>82</v>
      </c>
    </row>
    <row r="54" spans="2:4" x14ac:dyDescent="0.3">
      <c r="B54" s="180">
        <v>43188</v>
      </c>
      <c r="C54" s="180">
        <v>43188</v>
      </c>
      <c r="D54" s="171"/>
    </row>
    <row r="55" spans="2:4" x14ac:dyDescent="0.3">
      <c r="B55" s="180">
        <v>43189</v>
      </c>
      <c r="C55" s="180">
        <v>43189</v>
      </c>
      <c r="D55" s="171"/>
    </row>
    <row r="56" spans="2:4" x14ac:dyDescent="0.3">
      <c r="B56" s="181">
        <v>43203</v>
      </c>
      <c r="C56" s="184"/>
      <c r="D56" s="171"/>
    </row>
    <row r="57" spans="2:4" x14ac:dyDescent="0.3">
      <c r="B57" s="181">
        <v>43204</v>
      </c>
      <c r="C57" s="184"/>
      <c r="D57" s="171"/>
    </row>
    <row r="58" spans="2:4" x14ac:dyDescent="0.3">
      <c r="B58" s="180">
        <v>43221</v>
      </c>
      <c r="C58" s="180">
        <v>43221</v>
      </c>
      <c r="D58" s="171"/>
    </row>
    <row r="59" spans="2:4" x14ac:dyDescent="0.3">
      <c r="B59" s="180">
        <v>43275</v>
      </c>
      <c r="C59" s="180">
        <v>43275</v>
      </c>
      <c r="D59" s="171"/>
    </row>
    <row r="60" spans="2:4" x14ac:dyDescent="0.3">
      <c r="B60" s="180">
        <v>43280</v>
      </c>
      <c r="C60" s="180">
        <v>43280</v>
      </c>
      <c r="D60" s="171"/>
    </row>
    <row r="61" spans="2:4" x14ac:dyDescent="0.3">
      <c r="B61" s="189">
        <v>43308</v>
      </c>
      <c r="C61" s="189">
        <v>43308</v>
      </c>
      <c r="D61" s="188" t="s">
        <v>82</v>
      </c>
    </row>
    <row r="62" spans="2:4" x14ac:dyDescent="0.3">
      <c r="B62" s="180">
        <v>43309</v>
      </c>
      <c r="C62" s="180">
        <v>43309</v>
      </c>
      <c r="D62" s="171"/>
    </row>
    <row r="63" spans="2:4" x14ac:dyDescent="0.3">
      <c r="B63" s="180">
        <v>43310</v>
      </c>
      <c r="C63" s="180">
        <v>43310</v>
      </c>
      <c r="D63" s="171"/>
    </row>
    <row r="64" spans="2:4" x14ac:dyDescent="0.3">
      <c r="B64" s="180">
        <v>43342</v>
      </c>
      <c r="C64" s="180">
        <v>43342</v>
      </c>
      <c r="D64" s="171"/>
    </row>
    <row r="65" spans="2:4" x14ac:dyDescent="0.3">
      <c r="B65" s="189">
        <v>43343</v>
      </c>
      <c r="C65" s="189">
        <v>43343</v>
      </c>
      <c r="D65" s="188" t="s">
        <v>82</v>
      </c>
    </row>
    <row r="66" spans="2:4" x14ac:dyDescent="0.3">
      <c r="B66" s="180">
        <v>43381</v>
      </c>
      <c r="C66" s="180">
        <v>43381</v>
      </c>
      <c r="D66" s="171"/>
    </row>
    <row r="67" spans="2:4" x14ac:dyDescent="0.3">
      <c r="B67" s="180">
        <v>43405</v>
      </c>
      <c r="C67" s="180">
        <v>43405</v>
      </c>
      <c r="D67" s="171"/>
    </row>
    <row r="68" spans="2:4" x14ac:dyDescent="0.3">
      <c r="B68" s="189">
        <v>43406</v>
      </c>
      <c r="C68" s="189">
        <v>43406</v>
      </c>
      <c r="D68" s="188" t="s">
        <v>82</v>
      </c>
    </row>
    <row r="69" spans="2:4" x14ac:dyDescent="0.3">
      <c r="B69" s="180">
        <v>43442</v>
      </c>
      <c r="C69" s="180">
        <v>43442</v>
      </c>
      <c r="D69" s="171"/>
    </row>
    <row r="70" spans="2:4" ht="17.25" thickBot="1" x14ac:dyDescent="0.35">
      <c r="B70" s="183">
        <v>43459</v>
      </c>
      <c r="C70" s="183">
        <v>43459</v>
      </c>
      <c r="D70" s="171"/>
    </row>
    <row r="71" spans="2:4" x14ac:dyDescent="0.3">
      <c r="B71" s="162">
        <v>43466</v>
      </c>
      <c r="C71" s="233">
        <v>43466</v>
      </c>
      <c r="D71" s="172"/>
    </row>
    <row r="72" spans="2:4" x14ac:dyDescent="0.3">
      <c r="B72" s="163">
        <v>43573</v>
      </c>
      <c r="C72" s="234">
        <v>43573</v>
      </c>
      <c r="D72" s="171"/>
    </row>
    <row r="73" spans="2:4" x14ac:dyDescent="0.3">
      <c r="B73" s="163">
        <v>43574</v>
      </c>
      <c r="C73" s="234">
        <v>43574</v>
      </c>
      <c r="D73" s="171"/>
    </row>
    <row r="74" spans="2:4" x14ac:dyDescent="0.3">
      <c r="B74" s="163">
        <v>43576</v>
      </c>
      <c r="C74" s="234">
        <v>43576</v>
      </c>
      <c r="D74" s="171"/>
    </row>
    <row r="75" spans="2:4" x14ac:dyDescent="0.3">
      <c r="B75" s="163">
        <v>43586</v>
      </c>
      <c r="C75" s="234">
        <v>43586</v>
      </c>
      <c r="D75" s="171"/>
    </row>
    <row r="76" spans="2:4" x14ac:dyDescent="0.3">
      <c r="B76" s="163">
        <v>43645</v>
      </c>
      <c r="C76" s="234">
        <v>43645</v>
      </c>
      <c r="D76" s="171"/>
    </row>
    <row r="77" spans="2:4" x14ac:dyDescent="0.3">
      <c r="B77" s="163">
        <v>43674</v>
      </c>
      <c r="C77" s="234">
        <v>43674</v>
      </c>
      <c r="D77" s="171"/>
    </row>
    <row r="78" spans="2:4" x14ac:dyDescent="0.3">
      <c r="B78" s="163">
        <v>43675</v>
      </c>
      <c r="C78" s="234">
        <v>43675</v>
      </c>
      <c r="D78" s="171"/>
    </row>
    <row r="79" spans="2:4" x14ac:dyDescent="0.3">
      <c r="B79" s="189">
        <v>43676</v>
      </c>
      <c r="C79" s="189">
        <v>43676</v>
      </c>
      <c r="D79" s="188" t="s">
        <v>82</v>
      </c>
    </row>
    <row r="80" spans="2:4" x14ac:dyDescent="0.3">
      <c r="B80" s="189">
        <v>43706</v>
      </c>
      <c r="C80" s="189">
        <v>43706</v>
      </c>
      <c r="D80" s="188" t="s">
        <v>82</v>
      </c>
    </row>
    <row r="81" spans="2:4" x14ac:dyDescent="0.3">
      <c r="B81" s="163">
        <v>43707</v>
      </c>
      <c r="C81" s="234">
        <v>43707</v>
      </c>
      <c r="D81" s="171"/>
    </row>
    <row r="82" spans="2:4" x14ac:dyDescent="0.3">
      <c r="B82" s="163">
        <v>43746</v>
      </c>
      <c r="C82" s="234">
        <v>43746</v>
      </c>
      <c r="D82" s="171"/>
    </row>
    <row r="83" spans="2:4" x14ac:dyDescent="0.3">
      <c r="B83" s="189">
        <v>43769</v>
      </c>
      <c r="C83" s="189">
        <v>43769</v>
      </c>
      <c r="D83" s="188" t="s">
        <v>82</v>
      </c>
    </row>
    <row r="84" spans="2:4" x14ac:dyDescent="0.3">
      <c r="B84" s="163">
        <v>43770</v>
      </c>
      <c r="C84" s="234">
        <v>43770</v>
      </c>
      <c r="D84" s="171"/>
    </row>
    <row r="85" spans="2:4" x14ac:dyDescent="0.3">
      <c r="B85" s="163">
        <v>43807</v>
      </c>
      <c r="C85" s="234">
        <v>43807</v>
      </c>
      <c r="D85" s="171"/>
    </row>
    <row r="86" spans="2:4" ht="17.25" thickBot="1" x14ac:dyDescent="0.35">
      <c r="B86" s="163">
        <v>43824</v>
      </c>
      <c r="C86" s="234">
        <v>43824</v>
      </c>
      <c r="D86" s="171"/>
    </row>
    <row r="87" spans="2:4" x14ac:dyDescent="0.3">
      <c r="B87" s="179">
        <v>43831</v>
      </c>
      <c r="C87" s="162">
        <v>43831</v>
      </c>
      <c r="D87" s="172"/>
    </row>
    <row r="88" spans="2:4" x14ac:dyDescent="0.3">
      <c r="B88" s="180">
        <v>43906</v>
      </c>
      <c r="C88" s="180">
        <v>43906</v>
      </c>
      <c r="D88" s="171" t="s">
        <v>121</v>
      </c>
    </row>
    <row r="89" spans="2:4" x14ac:dyDescent="0.3">
      <c r="B89" s="180">
        <v>43907</v>
      </c>
      <c r="C89" s="180">
        <v>43907</v>
      </c>
      <c r="D89" s="171" t="s">
        <v>121</v>
      </c>
    </row>
    <row r="90" spans="2:4" x14ac:dyDescent="0.3">
      <c r="B90" s="180">
        <v>43908</v>
      </c>
      <c r="C90" s="180">
        <v>43908</v>
      </c>
      <c r="D90" s="171" t="s">
        <v>121</v>
      </c>
    </row>
    <row r="91" spans="2:4" x14ac:dyDescent="0.3">
      <c r="B91" s="180">
        <v>43909</v>
      </c>
      <c r="C91" s="180">
        <v>43909</v>
      </c>
      <c r="D91" s="171" t="s">
        <v>121</v>
      </c>
    </row>
    <row r="92" spans="2:4" x14ac:dyDescent="0.3">
      <c r="B92" s="180">
        <v>43910</v>
      </c>
      <c r="C92" s="180">
        <v>43910</v>
      </c>
      <c r="D92" s="171" t="s">
        <v>121</v>
      </c>
    </row>
    <row r="93" spans="2:4" x14ac:dyDescent="0.3">
      <c r="B93" s="180">
        <v>43911</v>
      </c>
      <c r="C93" s="180">
        <v>43911</v>
      </c>
      <c r="D93" s="171" t="s">
        <v>121</v>
      </c>
    </row>
    <row r="94" spans="2:4" x14ac:dyDescent="0.3">
      <c r="B94" s="180">
        <v>43912</v>
      </c>
      <c r="C94" s="180">
        <v>43912</v>
      </c>
      <c r="D94" s="171" t="s">
        <v>121</v>
      </c>
    </row>
    <row r="95" spans="2:4" x14ac:dyDescent="0.3">
      <c r="B95" s="180">
        <v>43913</v>
      </c>
      <c r="C95" s="180">
        <v>43913</v>
      </c>
      <c r="D95" s="171" t="s">
        <v>121</v>
      </c>
    </row>
    <row r="96" spans="2:4" x14ac:dyDescent="0.3">
      <c r="B96" s="180">
        <v>43914</v>
      </c>
      <c r="C96" s="180">
        <v>43914</v>
      </c>
      <c r="D96" s="171" t="s">
        <v>121</v>
      </c>
    </row>
    <row r="97" spans="2:4" x14ac:dyDescent="0.3">
      <c r="B97" s="180">
        <v>43915</v>
      </c>
      <c r="C97" s="180">
        <v>43915</v>
      </c>
      <c r="D97" s="171" t="s">
        <v>121</v>
      </c>
    </row>
    <row r="98" spans="2:4" x14ac:dyDescent="0.3">
      <c r="B98" s="180">
        <v>43916</v>
      </c>
      <c r="C98" s="180">
        <v>43916</v>
      </c>
      <c r="D98" s="171" t="s">
        <v>121</v>
      </c>
    </row>
    <row r="99" spans="2:4" x14ac:dyDescent="0.3">
      <c r="B99" s="180">
        <v>43917</v>
      </c>
      <c r="C99" s="180">
        <v>43917</v>
      </c>
      <c r="D99" s="171" t="s">
        <v>121</v>
      </c>
    </row>
    <row r="100" spans="2:4" x14ac:dyDescent="0.3">
      <c r="B100" s="180">
        <v>43918</v>
      </c>
      <c r="C100" s="180">
        <v>43918</v>
      </c>
      <c r="D100" s="171" t="s">
        <v>121</v>
      </c>
    </row>
    <row r="101" spans="2:4" x14ac:dyDescent="0.3">
      <c r="B101" s="180">
        <v>43919</v>
      </c>
      <c r="C101" s="180">
        <v>43919</v>
      </c>
      <c r="D101" s="171" t="s">
        <v>121</v>
      </c>
    </row>
    <row r="102" spans="2:4" x14ac:dyDescent="0.3">
      <c r="B102" s="180">
        <v>43920</v>
      </c>
      <c r="C102" s="180">
        <v>43920</v>
      </c>
      <c r="D102" s="171" t="s">
        <v>121</v>
      </c>
    </row>
    <row r="103" spans="2:4" x14ac:dyDescent="0.3">
      <c r="B103" s="180">
        <v>43921</v>
      </c>
      <c r="C103" s="180">
        <v>43921</v>
      </c>
      <c r="D103" s="171" t="s">
        <v>121</v>
      </c>
    </row>
    <row r="104" spans="2:4" x14ac:dyDescent="0.3">
      <c r="B104" s="180">
        <v>43922</v>
      </c>
      <c r="C104" s="180">
        <v>43922</v>
      </c>
      <c r="D104" s="171" t="s">
        <v>121</v>
      </c>
    </row>
    <row r="105" spans="2:4" x14ac:dyDescent="0.3">
      <c r="B105" s="180">
        <v>43923</v>
      </c>
      <c r="C105" s="180">
        <v>43923</v>
      </c>
      <c r="D105" s="171" t="s">
        <v>121</v>
      </c>
    </row>
    <row r="106" spans="2:4" x14ac:dyDescent="0.3">
      <c r="B106" s="180">
        <v>43924</v>
      </c>
      <c r="C106" s="180">
        <v>43924</v>
      </c>
      <c r="D106" s="171" t="s">
        <v>121</v>
      </c>
    </row>
    <row r="107" spans="2:4" x14ac:dyDescent="0.3">
      <c r="B107" s="180">
        <v>43925</v>
      </c>
      <c r="C107" s="180">
        <v>43925</v>
      </c>
      <c r="D107" s="171" t="s">
        <v>121</v>
      </c>
    </row>
    <row r="108" spans="2:4" x14ac:dyDescent="0.3">
      <c r="B108" s="180">
        <v>43926</v>
      </c>
      <c r="C108" s="180">
        <v>43926</v>
      </c>
      <c r="D108" s="171" t="s">
        <v>121</v>
      </c>
    </row>
    <row r="109" spans="2:4" x14ac:dyDescent="0.3">
      <c r="B109" s="180">
        <v>43927</v>
      </c>
      <c r="C109" s="180">
        <v>43927</v>
      </c>
      <c r="D109" s="171" t="s">
        <v>121</v>
      </c>
    </row>
    <row r="110" spans="2:4" x14ac:dyDescent="0.3">
      <c r="B110" s="180">
        <v>43928</v>
      </c>
      <c r="C110" s="180">
        <v>43928</v>
      </c>
      <c r="D110" s="171" t="s">
        <v>121</v>
      </c>
    </row>
    <row r="111" spans="2:4" x14ac:dyDescent="0.3">
      <c r="B111" s="180">
        <v>43929</v>
      </c>
      <c r="C111" s="180">
        <v>43929</v>
      </c>
      <c r="D111" s="171" t="s">
        <v>121</v>
      </c>
    </row>
    <row r="112" spans="2:4" x14ac:dyDescent="0.3">
      <c r="B112" s="180">
        <v>43930</v>
      </c>
      <c r="C112" s="180">
        <v>43930</v>
      </c>
      <c r="D112" s="171" t="s">
        <v>121</v>
      </c>
    </row>
    <row r="113" spans="2:4" x14ac:dyDescent="0.3">
      <c r="B113" s="180">
        <v>43931</v>
      </c>
      <c r="C113" s="180">
        <v>43931</v>
      </c>
      <c r="D113" s="171" t="s">
        <v>121</v>
      </c>
    </row>
    <row r="114" spans="2:4" x14ac:dyDescent="0.3">
      <c r="B114" s="180">
        <v>43932</v>
      </c>
      <c r="C114" s="180">
        <v>43932</v>
      </c>
      <c r="D114" s="171" t="s">
        <v>121</v>
      </c>
    </row>
    <row r="115" spans="2:4" x14ac:dyDescent="0.3">
      <c r="B115" s="180">
        <v>43933</v>
      </c>
      <c r="C115" s="180">
        <v>43933</v>
      </c>
      <c r="D115" s="171" t="s">
        <v>121</v>
      </c>
    </row>
    <row r="116" spans="2:4" x14ac:dyDescent="0.3">
      <c r="B116" s="180">
        <v>43934</v>
      </c>
      <c r="C116" s="180">
        <v>43934</v>
      </c>
      <c r="D116" s="171" t="s">
        <v>121</v>
      </c>
    </row>
    <row r="117" spans="2:4" x14ac:dyDescent="0.3">
      <c r="B117" s="180">
        <v>43935</v>
      </c>
      <c r="C117" s="180">
        <v>43935</v>
      </c>
      <c r="D117" s="171" t="s">
        <v>121</v>
      </c>
    </row>
    <row r="118" spans="2:4" x14ac:dyDescent="0.3">
      <c r="B118" s="180">
        <v>43936</v>
      </c>
      <c r="C118" s="180">
        <v>43936</v>
      </c>
      <c r="D118" s="171" t="s">
        <v>121</v>
      </c>
    </row>
    <row r="119" spans="2:4" x14ac:dyDescent="0.3">
      <c r="B119" s="180">
        <v>43937</v>
      </c>
      <c r="C119" s="180">
        <v>43937</v>
      </c>
      <c r="D119" s="171" t="s">
        <v>121</v>
      </c>
    </row>
    <row r="120" spans="2:4" x14ac:dyDescent="0.3">
      <c r="B120" s="180">
        <v>43938</v>
      </c>
      <c r="C120" s="180">
        <v>43938</v>
      </c>
      <c r="D120" s="171" t="s">
        <v>121</v>
      </c>
    </row>
    <row r="121" spans="2:4" x14ac:dyDescent="0.3">
      <c r="B121" s="180">
        <v>43939</v>
      </c>
      <c r="C121" s="180">
        <v>43939</v>
      </c>
      <c r="D121" s="171" t="s">
        <v>121</v>
      </c>
    </row>
    <row r="122" spans="2:4" x14ac:dyDescent="0.3">
      <c r="B122" s="180">
        <v>43940</v>
      </c>
      <c r="C122" s="180">
        <v>43940</v>
      </c>
      <c r="D122" s="171" t="s">
        <v>121</v>
      </c>
    </row>
    <row r="123" spans="2:4" x14ac:dyDescent="0.3">
      <c r="B123" s="180">
        <v>43941</v>
      </c>
      <c r="C123" s="180">
        <v>43941</v>
      </c>
      <c r="D123" s="171" t="s">
        <v>121</v>
      </c>
    </row>
    <row r="124" spans="2:4" x14ac:dyDescent="0.3">
      <c r="B124" s="180">
        <v>43942</v>
      </c>
      <c r="C124" s="180">
        <v>43942</v>
      </c>
      <c r="D124" s="171" t="s">
        <v>121</v>
      </c>
    </row>
    <row r="125" spans="2:4" x14ac:dyDescent="0.3">
      <c r="B125" s="180">
        <v>43943</v>
      </c>
      <c r="C125" s="180">
        <v>43943</v>
      </c>
      <c r="D125" s="171" t="s">
        <v>121</v>
      </c>
    </row>
    <row r="126" spans="2:4" x14ac:dyDescent="0.3">
      <c r="B126" s="180">
        <v>43944</v>
      </c>
      <c r="C126" s="180">
        <v>43944</v>
      </c>
      <c r="D126" s="171" t="s">
        <v>121</v>
      </c>
    </row>
    <row r="127" spans="2:4" x14ac:dyDescent="0.3">
      <c r="B127" s="180">
        <v>43945</v>
      </c>
      <c r="C127" s="180">
        <v>43945</v>
      </c>
      <c r="D127" s="171" t="s">
        <v>121</v>
      </c>
    </row>
    <row r="128" spans="2:4" x14ac:dyDescent="0.3">
      <c r="B128" s="180">
        <v>43946</v>
      </c>
      <c r="C128" s="180">
        <v>43946</v>
      </c>
      <c r="D128" s="171" t="s">
        <v>121</v>
      </c>
    </row>
    <row r="129" spans="2:4" x14ac:dyDescent="0.3">
      <c r="B129" s="180">
        <v>43947</v>
      </c>
      <c r="C129" s="180">
        <v>43947</v>
      </c>
      <c r="D129" s="171" t="s">
        <v>121</v>
      </c>
    </row>
    <row r="130" spans="2:4" x14ac:dyDescent="0.3">
      <c r="B130" s="180">
        <v>43948</v>
      </c>
      <c r="C130" s="180">
        <v>43948</v>
      </c>
      <c r="D130" s="171" t="s">
        <v>121</v>
      </c>
    </row>
    <row r="131" spans="2:4" x14ac:dyDescent="0.3">
      <c r="B131" s="180">
        <v>43949</v>
      </c>
      <c r="C131" s="180">
        <v>43949</v>
      </c>
      <c r="D131" s="171" t="s">
        <v>121</v>
      </c>
    </row>
    <row r="132" spans="2:4" x14ac:dyDescent="0.3">
      <c r="B132" s="180">
        <v>43950</v>
      </c>
      <c r="C132" s="180">
        <v>43950</v>
      </c>
      <c r="D132" s="171" t="s">
        <v>121</v>
      </c>
    </row>
    <row r="133" spans="2:4" x14ac:dyDescent="0.3">
      <c r="B133" s="180">
        <v>43951</v>
      </c>
      <c r="C133" s="180">
        <v>43951</v>
      </c>
      <c r="D133" s="171" t="s">
        <v>121</v>
      </c>
    </row>
    <row r="134" spans="2:4" x14ac:dyDescent="0.3">
      <c r="B134" s="180">
        <v>43952</v>
      </c>
      <c r="C134" s="180">
        <v>43952</v>
      </c>
      <c r="D134" s="171" t="s">
        <v>121</v>
      </c>
    </row>
    <row r="135" spans="2:4" x14ac:dyDescent="0.3">
      <c r="B135" s="180">
        <v>43953</v>
      </c>
      <c r="C135" s="180">
        <v>43953</v>
      </c>
      <c r="D135" s="171" t="s">
        <v>121</v>
      </c>
    </row>
    <row r="136" spans="2:4" x14ac:dyDescent="0.3">
      <c r="B136" s="180">
        <v>43954</v>
      </c>
      <c r="C136" s="180">
        <v>43954</v>
      </c>
      <c r="D136" s="171" t="s">
        <v>121</v>
      </c>
    </row>
    <row r="137" spans="2:4" x14ac:dyDescent="0.3">
      <c r="B137" s="180">
        <v>43955</v>
      </c>
      <c r="C137" s="180">
        <v>43955</v>
      </c>
      <c r="D137" s="171" t="s">
        <v>121</v>
      </c>
    </row>
    <row r="138" spans="2:4" x14ac:dyDescent="0.3">
      <c r="B138" s="180">
        <v>43956</v>
      </c>
      <c r="C138" s="180">
        <v>43956</v>
      </c>
      <c r="D138" s="171" t="s">
        <v>121</v>
      </c>
    </row>
    <row r="139" spans="2:4" x14ac:dyDescent="0.3">
      <c r="B139" s="180">
        <v>43957</v>
      </c>
      <c r="C139" s="180">
        <v>43957</v>
      </c>
      <c r="D139" s="171" t="s">
        <v>121</v>
      </c>
    </row>
    <row r="140" spans="2:4" x14ac:dyDescent="0.3">
      <c r="B140" s="180">
        <v>43958</v>
      </c>
      <c r="C140" s="180">
        <v>43958</v>
      </c>
      <c r="D140" s="171" t="s">
        <v>121</v>
      </c>
    </row>
    <row r="141" spans="2:4" x14ac:dyDescent="0.3">
      <c r="B141" s="180">
        <v>43959</v>
      </c>
      <c r="C141" s="180">
        <v>43959</v>
      </c>
      <c r="D141" s="171" t="s">
        <v>121</v>
      </c>
    </row>
    <row r="142" spans="2:4" x14ac:dyDescent="0.3">
      <c r="B142" s="180">
        <v>43960</v>
      </c>
      <c r="C142" s="180">
        <v>43960</v>
      </c>
      <c r="D142" s="171" t="s">
        <v>121</v>
      </c>
    </row>
    <row r="143" spans="2:4" x14ac:dyDescent="0.3">
      <c r="B143" s="180">
        <v>43961</v>
      </c>
      <c r="C143" s="180">
        <v>43961</v>
      </c>
      <c r="D143" s="171" t="s">
        <v>121</v>
      </c>
    </row>
    <row r="144" spans="2:4" x14ac:dyDescent="0.3">
      <c r="B144" s="180">
        <v>43962</v>
      </c>
      <c r="C144" s="180">
        <v>43962</v>
      </c>
      <c r="D144" s="171" t="s">
        <v>121</v>
      </c>
    </row>
    <row r="145" spans="2:4" x14ac:dyDescent="0.3">
      <c r="B145" s="180">
        <v>43963</v>
      </c>
      <c r="C145" s="180">
        <v>43963</v>
      </c>
      <c r="D145" s="171" t="s">
        <v>121</v>
      </c>
    </row>
    <row r="146" spans="2:4" x14ac:dyDescent="0.3">
      <c r="B146" s="180">
        <v>43964</v>
      </c>
      <c r="C146" s="180">
        <v>43964</v>
      </c>
      <c r="D146" s="171" t="s">
        <v>121</v>
      </c>
    </row>
    <row r="147" spans="2:4" x14ac:dyDescent="0.3">
      <c r="B147" s="180">
        <v>43965</v>
      </c>
      <c r="C147" s="180">
        <v>43965</v>
      </c>
      <c r="D147" s="171" t="s">
        <v>121</v>
      </c>
    </row>
    <row r="148" spans="2:4" x14ac:dyDescent="0.3">
      <c r="B148" s="180">
        <v>43966</v>
      </c>
      <c r="C148" s="180">
        <v>43966</v>
      </c>
      <c r="D148" s="171" t="s">
        <v>121</v>
      </c>
    </row>
    <row r="149" spans="2:4" x14ac:dyDescent="0.3">
      <c r="B149" s="180">
        <v>43967</v>
      </c>
      <c r="C149" s="180">
        <v>43967</v>
      </c>
      <c r="D149" s="171" t="s">
        <v>121</v>
      </c>
    </row>
    <row r="150" spans="2:4" x14ac:dyDescent="0.3">
      <c r="B150" s="180">
        <v>43968</v>
      </c>
      <c r="C150" s="180">
        <v>43968</v>
      </c>
      <c r="D150" s="171" t="s">
        <v>121</v>
      </c>
    </row>
    <row r="151" spans="2:4" x14ac:dyDescent="0.3">
      <c r="B151" s="180">
        <v>43969</v>
      </c>
      <c r="C151" s="180">
        <v>43969</v>
      </c>
      <c r="D151" s="171" t="s">
        <v>121</v>
      </c>
    </row>
    <row r="152" spans="2:4" x14ac:dyDescent="0.3">
      <c r="B152" s="180">
        <v>43970</v>
      </c>
      <c r="C152" s="180">
        <v>43970</v>
      </c>
      <c r="D152" s="171" t="s">
        <v>121</v>
      </c>
    </row>
    <row r="153" spans="2:4" x14ac:dyDescent="0.3">
      <c r="B153" s="180">
        <v>43971</v>
      </c>
      <c r="C153" s="180">
        <v>43971</v>
      </c>
      <c r="D153" s="171" t="s">
        <v>121</v>
      </c>
    </row>
    <row r="154" spans="2:4" x14ac:dyDescent="0.3">
      <c r="B154" s="180">
        <v>43972</v>
      </c>
      <c r="C154" s="180">
        <v>43972</v>
      </c>
      <c r="D154" s="171" t="s">
        <v>121</v>
      </c>
    </row>
    <row r="155" spans="2:4" x14ac:dyDescent="0.3">
      <c r="B155" s="180">
        <v>43973</v>
      </c>
      <c r="C155" s="180">
        <v>43973</v>
      </c>
      <c r="D155" s="171" t="s">
        <v>121</v>
      </c>
    </row>
    <row r="156" spans="2:4" x14ac:dyDescent="0.3">
      <c r="B156" s="180">
        <v>43974</v>
      </c>
      <c r="C156" s="180">
        <v>43974</v>
      </c>
      <c r="D156" s="171" t="s">
        <v>121</v>
      </c>
    </row>
    <row r="157" spans="2:4" x14ac:dyDescent="0.3">
      <c r="B157" s="180">
        <v>43975</v>
      </c>
      <c r="C157" s="180">
        <v>43975</v>
      </c>
      <c r="D157" s="171" t="s">
        <v>121</v>
      </c>
    </row>
    <row r="158" spans="2:4" x14ac:dyDescent="0.3">
      <c r="B158" s="180">
        <v>43976</v>
      </c>
      <c r="C158" s="180">
        <v>43976</v>
      </c>
      <c r="D158" s="171" t="s">
        <v>121</v>
      </c>
    </row>
    <row r="159" spans="2:4" x14ac:dyDescent="0.3">
      <c r="B159" s="180">
        <v>43977</v>
      </c>
      <c r="C159" s="180">
        <v>43977</v>
      </c>
      <c r="D159" s="171" t="s">
        <v>121</v>
      </c>
    </row>
    <row r="160" spans="2:4" x14ac:dyDescent="0.3">
      <c r="B160" s="180">
        <v>43978</v>
      </c>
      <c r="C160" s="180">
        <v>43978</v>
      </c>
      <c r="D160" s="171" t="s">
        <v>121</v>
      </c>
    </row>
    <row r="161" spans="2:4" x14ac:dyDescent="0.3">
      <c r="B161" s="180">
        <v>43979</v>
      </c>
      <c r="C161" s="180">
        <v>43979</v>
      </c>
      <c r="D161" s="171" t="s">
        <v>121</v>
      </c>
    </row>
    <row r="162" spans="2:4" x14ac:dyDescent="0.3">
      <c r="B162" s="180">
        <v>43980</v>
      </c>
      <c r="C162" s="180">
        <v>43980</v>
      </c>
      <c r="D162" s="171" t="s">
        <v>121</v>
      </c>
    </row>
    <row r="163" spans="2:4" x14ac:dyDescent="0.3">
      <c r="B163" s="180">
        <v>43981</v>
      </c>
      <c r="C163" s="180">
        <v>43981</v>
      </c>
      <c r="D163" s="171" t="s">
        <v>121</v>
      </c>
    </row>
    <row r="164" spans="2:4" x14ac:dyDescent="0.3">
      <c r="B164" s="180">
        <v>43982</v>
      </c>
      <c r="C164" s="180">
        <v>43982</v>
      </c>
      <c r="D164" s="171" t="s">
        <v>121</v>
      </c>
    </row>
    <row r="165" spans="2:4" x14ac:dyDescent="0.3">
      <c r="B165" s="180">
        <v>43983</v>
      </c>
      <c r="C165" s="180">
        <v>43983</v>
      </c>
      <c r="D165" s="171" t="s">
        <v>121</v>
      </c>
    </row>
    <row r="166" spans="2:4" x14ac:dyDescent="0.3">
      <c r="B166" s="180">
        <v>43984</v>
      </c>
      <c r="C166" s="180">
        <v>43984</v>
      </c>
      <c r="D166" s="171" t="s">
        <v>121</v>
      </c>
    </row>
    <row r="167" spans="2:4" x14ac:dyDescent="0.3">
      <c r="B167" s="180">
        <v>43985</v>
      </c>
      <c r="C167" s="180">
        <v>43985</v>
      </c>
      <c r="D167" s="171" t="s">
        <v>121</v>
      </c>
    </row>
    <row r="168" spans="2:4" x14ac:dyDescent="0.3">
      <c r="B168" s="180">
        <v>43986</v>
      </c>
      <c r="C168" s="180">
        <v>43986</v>
      </c>
      <c r="D168" s="171" t="s">
        <v>121</v>
      </c>
    </row>
    <row r="169" spans="2:4" x14ac:dyDescent="0.3">
      <c r="B169" s="180">
        <v>43987</v>
      </c>
      <c r="C169" s="180">
        <v>43987</v>
      </c>
      <c r="D169" s="171" t="s">
        <v>121</v>
      </c>
    </row>
    <row r="170" spans="2:4" x14ac:dyDescent="0.3">
      <c r="B170" s="180">
        <v>43988</v>
      </c>
      <c r="C170" s="180">
        <v>43988</v>
      </c>
      <c r="D170" s="171" t="s">
        <v>121</v>
      </c>
    </row>
    <row r="171" spans="2:4" x14ac:dyDescent="0.3">
      <c r="B171" s="180">
        <v>43989</v>
      </c>
      <c r="C171" s="180">
        <v>43989</v>
      </c>
      <c r="D171" s="171" t="s">
        <v>121</v>
      </c>
    </row>
    <row r="172" spans="2:4" x14ac:dyDescent="0.3">
      <c r="B172" s="180">
        <v>43990</v>
      </c>
      <c r="C172" s="180">
        <v>43990</v>
      </c>
      <c r="D172" s="171" t="s">
        <v>121</v>
      </c>
    </row>
    <row r="173" spans="2:4" x14ac:dyDescent="0.3">
      <c r="B173" s="180">
        <v>43991</v>
      </c>
      <c r="C173" s="180">
        <v>43991</v>
      </c>
      <c r="D173" s="171" t="s">
        <v>121</v>
      </c>
    </row>
    <row r="174" spans="2:4" x14ac:dyDescent="0.3">
      <c r="B174" s="180">
        <v>43992</v>
      </c>
      <c r="C174" s="180">
        <v>43992</v>
      </c>
      <c r="D174" s="171" t="s">
        <v>121</v>
      </c>
    </row>
    <row r="175" spans="2:4" x14ac:dyDescent="0.3">
      <c r="B175" s="180">
        <v>44011</v>
      </c>
      <c r="C175" s="163">
        <v>44011</v>
      </c>
      <c r="D175" s="171"/>
    </row>
    <row r="176" spans="2:4" x14ac:dyDescent="0.3">
      <c r="B176" s="180">
        <v>44040</v>
      </c>
      <c r="C176" s="163">
        <v>44040</v>
      </c>
      <c r="D176" s="171"/>
    </row>
    <row r="177" spans="2:4" x14ac:dyDescent="0.3">
      <c r="B177" s="180">
        <v>44073</v>
      </c>
      <c r="C177" s="163">
        <v>44073</v>
      </c>
      <c r="D177" s="171"/>
    </row>
    <row r="178" spans="2:4" x14ac:dyDescent="0.3">
      <c r="B178" s="180">
        <v>44136</v>
      </c>
      <c r="C178" s="163">
        <v>44136</v>
      </c>
      <c r="D178" s="171"/>
    </row>
    <row r="179" spans="2:4" x14ac:dyDescent="0.3">
      <c r="B179" s="180">
        <v>44173</v>
      </c>
      <c r="C179" s="163">
        <v>44173</v>
      </c>
      <c r="D179" s="171"/>
    </row>
    <row r="180" spans="2:4" ht="17.25" thickBot="1" x14ac:dyDescent="0.35">
      <c r="B180" s="189">
        <v>44189</v>
      </c>
      <c r="C180" s="189">
        <v>44189</v>
      </c>
      <c r="D180" s="239" t="s">
        <v>82</v>
      </c>
    </row>
    <row r="181" spans="2:4" x14ac:dyDescent="0.3">
      <c r="B181" s="180">
        <v>44190</v>
      </c>
      <c r="C181" s="163">
        <v>44190</v>
      </c>
      <c r="D181" s="171"/>
    </row>
    <row r="182" spans="2:4" ht="17.25" thickBot="1" x14ac:dyDescent="0.35">
      <c r="B182" s="240">
        <v>44196</v>
      </c>
      <c r="C182" s="241">
        <v>44196</v>
      </c>
      <c r="D182" s="239" t="s">
        <v>82</v>
      </c>
    </row>
    <row r="183" spans="2:4" x14ac:dyDescent="0.3">
      <c r="B183" s="162">
        <v>44197</v>
      </c>
      <c r="C183" s="162">
        <v>44197</v>
      </c>
      <c r="D183" s="172"/>
    </row>
    <row r="184" spans="2:4" x14ac:dyDescent="0.3">
      <c r="B184" s="163">
        <v>44287</v>
      </c>
      <c r="C184" s="163">
        <v>44287</v>
      </c>
      <c r="D184" s="171"/>
    </row>
    <row r="185" spans="2:4" x14ac:dyDescent="0.3">
      <c r="B185" s="163">
        <v>44288</v>
      </c>
      <c r="C185" s="163">
        <v>44288</v>
      </c>
      <c r="D185" s="171"/>
    </row>
    <row r="186" spans="2:4" x14ac:dyDescent="0.3">
      <c r="B186" s="163">
        <v>44317</v>
      </c>
      <c r="C186" s="163">
        <v>44317</v>
      </c>
      <c r="D186" s="171"/>
    </row>
    <row r="187" spans="2:4" x14ac:dyDescent="0.3">
      <c r="B187" s="163">
        <v>44376</v>
      </c>
      <c r="C187" s="163">
        <v>44376</v>
      </c>
      <c r="D187" s="171"/>
    </row>
    <row r="188" spans="2:4" x14ac:dyDescent="0.3">
      <c r="B188" s="163">
        <v>44405</v>
      </c>
      <c r="C188" s="163">
        <v>44405</v>
      </c>
      <c r="D188" s="171"/>
    </row>
    <row r="189" spans="2:4" x14ac:dyDescent="0.3">
      <c r="B189" s="163">
        <v>44406</v>
      </c>
      <c r="C189" s="163">
        <v>44406</v>
      </c>
      <c r="D189" s="171"/>
    </row>
    <row r="190" spans="2:4" x14ac:dyDescent="0.3">
      <c r="B190" s="163">
        <v>44438</v>
      </c>
      <c r="C190" s="163">
        <v>44438</v>
      </c>
      <c r="D190" s="171"/>
    </row>
    <row r="191" spans="2:4" x14ac:dyDescent="0.3">
      <c r="B191" s="246">
        <v>44477</v>
      </c>
      <c r="C191" s="246">
        <v>44477</v>
      </c>
      <c r="D191" s="247"/>
    </row>
    <row r="192" spans="2:4" ht="17.25" thickBot="1" x14ac:dyDescent="0.35">
      <c r="B192" s="246">
        <v>44480</v>
      </c>
      <c r="C192" s="246">
        <v>44480</v>
      </c>
      <c r="D192" s="239" t="s">
        <v>82</v>
      </c>
    </row>
    <row r="193" spans="2:4" x14ac:dyDescent="0.3">
      <c r="B193" s="163">
        <v>44501</v>
      </c>
      <c r="C193" s="163">
        <v>44501</v>
      </c>
      <c r="D193" s="171"/>
    </row>
    <row r="194" spans="2:4" ht="17.25" thickBot="1" x14ac:dyDescent="0.35">
      <c r="B194" s="163">
        <v>44502</v>
      </c>
      <c r="C194" s="163">
        <v>44502</v>
      </c>
      <c r="D194" s="239" t="s">
        <v>82</v>
      </c>
    </row>
    <row r="195" spans="2:4" x14ac:dyDescent="0.3">
      <c r="B195" s="163">
        <v>44538</v>
      </c>
      <c r="C195" s="163">
        <v>44538</v>
      </c>
      <c r="D195" s="171"/>
    </row>
    <row r="196" spans="2:4" ht="17.25" thickBot="1" x14ac:dyDescent="0.35">
      <c r="B196" s="163">
        <v>44554</v>
      </c>
      <c r="C196" s="163">
        <v>44554</v>
      </c>
      <c r="D196" s="239" t="s">
        <v>82</v>
      </c>
    </row>
    <row r="197" spans="2:4" x14ac:dyDescent="0.3">
      <c r="B197" s="163">
        <v>44555</v>
      </c>
      <c r="C197" s="163">
        <v>44555</v>
      </c>
      <c r="D197" s="171"/>
    </row>
    <row r="198" spans="2:4" ht="17.25" thickBot="1" x14ac:dyDescent="0.35">
      <c r="B198" s="73">
        <v>44557</v>
      </c>
      <c r="C198" s="73">
        <v>44557</v>
      </c>
      <c r="D198" s="239" t="s">
        <v>82</v>
      </c>
    </row>
    <row r="199" spans="2:4" ht="17.25" thickBot="1" x14ac:dyDescent="0.35">
      <c r="B199" s="73">
        <v>44561</v>
      </c>
      <c r="C199" s="73">
        <v>44561</v>
      </c>
      <c r="D199" s="239" t="s">
        <v>82</v>
      </c>
    </row>
    <row r="200" spans="2:4" x14ac:dyDescent="0.3">
      <c r="B200" s="73">
        <v>44562</v>
      </c>
      <c r="C200" s="73">
        <v>44562</v>
      </c>
      <c r="D200" s="249" t="s">
        <v>82</v>
      </c>
    </row>
    <row r="201" spans="2:4" x14ac:dyDescent="0.3">
      <c r="B201" s="73">
        <v>44564</v>
      </c>
      <c r="C201" s="73">
        <v>44564</v>
      </c>
      <c r="D201" s="250"/>
    </row>
    <row r="202" spans="2:4" x14ac:dyDescent="0.3">
      <c r="B202" s="73">
        <v>44665</v>
      </c>
      <c r="C202" s="73">
        <v>44665</v>
      </c>
      <c r="D202" s="250"/>
    </row>
    <row r="203" spans="2:4" x14ac:dyDescent="0.3">
      <c r="B203" s="73">
        <v>44666</v>
      </c>
      <c r="C203" s="73">
        <v>44666</v>
      </c>
      <c r="D203" s="250"/>
    </row>
    <row r="204" spans="2:4" x14ac:dyDescent="0.3">
      <c r="B204" s="73">
        <v>44682</v>
      </c>
      <c r="C204" s="73">
        <v>44682</v>
      </c>
      <c r="D204" s="250"/>
    </row>
    <row r="205" spans="2:4" x14ac:dyDescent="0.3">
      <c r="B205" s="73">
        <v>44683</v>
      </c>
      <c r="C205" s="73">
        <v>44683</v>
      </c>
      <c r="D205" s="250"/>
    </row>
    <row r="206" spans="2:4" x14ac:dyDescent="0.3">
      <c r="B206" s="73">
        <v>44725</v>
      </c>
      <c r="C206" s="73">
        <v>44725</v>
      </c>
      <c r="D206" s="250"/>
    </row>
    <row r="207" spans="2:4" x14ac:dyDescent="0.3">
      <c r="B207" s="73">
        <v>44736</v>
      </c>
      <c r="C207" s="73">
        <v>44736</v>
      </c>
      <c r="D207" s="250"/>
    </row>
    <row r="208" spans="2:4" x14ac:dyDescent="0.3">
      <c r="B208" s="73">
        <v>44741</v>
      </c>
      <c r="C208" s="73">
        <v>44741</v>
      </c>
      <c r="D208" s="250"/>
    </row>
    <row r="209" spans="2:4" x14ac:dyDescent="0.3">
      <c r="B209" s="73">
        <v>44770</v>
      </c>
      <c r="C209" s="73">
        <v>44770</v>
      </c>
      <c r="D209" s="250"/>
    </row>
    <row r="210" spans="2:4" x14ac:dyDescent="0.3">
      <c r="B210" s="73">
        <v>44771</v>
      </c>
      <c r="C210" s="73">
        <v>44771</v>
      </c>
      <c r="D210" s="250"/>
    </row>
    <row r="211" spans="2:4" x14ac:dyDescent="0.3">
      <c r="B211" s="73">
        <v>44802</v>
      </c>
      <c r="C211" s="73">
        <v>44802</v>
      </c>
      <c r="D211" s="250"/>
    </row>
    <row r="212" spans="2:4" x14ac:dyDescent="0.3">
      <c r="B212" s="73">
        <v>44803</v>
      </c>
      <c r="C212" s="73">
        <v>44803</v>
      </c>
      <c r="D212" s="250"/>
    </row>
    <row r="213" spans="2:4" x14ac:dyDescent="0.3">
      <c r="B213" s="73">
        <v>44841</v>
      </c>
      <c r="C213" s="73">
        <v>44841</v>
      </c>
      <c r="D213" s="250"/>
    </row>
    <row r="214" spans="2:4" x14ac:dyDescent="0.3">
      <c r="B214" s="73">
        <v>44842</v>
      </c>
      <c r="C214" s="73">
        <v>44842</v>
      </c>
      <c r="D214" s="250"/>
    </row>
    <row r="215" spans="2:4" x14ac:dyDescent="0.3">
      <c r="B215" s="73">
        <v>44865</v>
      </c>
      <c r="C215" s="73">
        <v>44865</v>
      </c>
      <c r="D215" s="250"/>
    </row>
    <row r="216" spans="2:4" x14ac:dyDescent="0.3">
      <c r="B216" s="73">
        <v>44866</v>
      </c>
      <c r="C216" s="73">
        <v>44866</v>
      </c>
      <c r="D216" s="250"/>
    </row>
    <row r="217" spans="2:4" x14ac:dyDescent="0.3">
      <c r="B217" s="73">
        <v>44903</v>
      </c>
      <c r="C217" s="73">
        <v>44903</v>
      </c>
      <c r="D217" s="250"/>
    </row>
    <row r="218" spans="2:4" x14ac:dyDescent="0.3">
      <c r="B218" s="73">
        <v>44904</v>
      </c>
      <c r="C218" s="73">
        <v>44904</v>
      </c>
      <c r="D218" s="250"/>
    </row>
    <row r="219" spans="2:4" x14ac:dyDescent="0.3">
      <c r="B219" s="73">
        <v>44920</v>
      </c>
      <c r="C219" s="73">
        <v>44920</v>
      </c>
      <c r="D219" s="250"/>
    </row>
    <row r="220" spans="2:4" x14ac:dyDescent="0.3">
      <c r="B220" s="73">
        <v>44921</v>
      </c>
      <c r="C220" s="73">
        <v>44921</v>
      </c>
      <c r="D220" s="250"/>
    </row>
    <row r="221" spans="2:4" x14ac:dyDescent="0.3">
      <c r="B221" s="73">
        <v>44925</v>
      </c>
      <c r="C221" s="73">
        <v>44925</v>
      </c>
      <c r="D221" s="250"/>
    </row>
    <row r="222" spans="2:4" x14ac:dyDescent="0.3">
      <c r="B222" s="163">
        <v>44928</v>
      </c>
      <c r="C222" s="163">
        <v>44928</v>
      </c>
    </row>
    <row r="223" spans="2:4" x14ac:dyDescent="0.3">
      <c r="B223" s="73">
        <v>45022</v>
      </c>
      <c r="C223" s="73">
        <v>45022</v>
      </c>
    </row>
    <row r="224" spans="2:4" x14ac:dyDescent="0.3">
      <c r="B224" s="73">
        <v>45023</v>
      </c>
      <c r="C224" s="73">
        <v>45023</v>
      </c>
    </row>
    <row r="225" spans="2:3" x14ac:dyDescent="0.3">
      <c r="B225" s="73">
        <v>45025</v>
      </c>
      <c r="C225" s="73">
        <v>45025</v>
      </c>
    </row>
    <row r="226" spans="2:3" x14ac:dyDescent="0.3">
      <c r="B226" s="73">
        <v>45044</v>
      </c>
      <c r="C226" s="73">
        <v>45044</v>
      </c>
    </row>
    <row r="227" spans="2:3" x14ac:dyDescent="0.3">
      <c r="B227" s="73">
        <v>45047</v>
      </c>
      <c r="C227" s="73">
        <v>45047</v>
      </c>
    </row>
    <row r="228" spans="2:3" x14ac:dyDescent="0.3">
      <c r="B228" s="73">
        <v>45106</v>
      </c>
      <c r="C228" s="73">
        <v>45106</v>
      </c>
    </row>
    <row r="229" spans="2:3" x14ac:dyDescent="0.3">
      <c r="B229" s="73">
        <v>45107</v>
      </c>
      <c r="C229" s="73">
        <v>45107</v>
      </c>
    </row>
    <row r="230" spans="2:3" x14ac:dyDescent="0.3">
      <c r="B230" s="73">
        <v>45134</v>
      </c>
      <c r="C230" s="73">
        <v>45134</v>
      </c>
    </row>
    <row r="231" spans="2:3" x14ac:dyDescent="0.3">
      <c r="B231" s="73">
        <v>45135</v>
      </c>
      <c r="C231" s="73">
        <v>45135</v>
      </c>
    </row>
    <row r="232" spans="2:3" x14ac:dyDescent="0.3">
      <c r="B232" s="73">
        <v>45136</v>
      </c>
      <c r="C232" s="73">
        <v>45136</v>
      </c>
    </row>
    <row r="233" spans="2:3" x14ac:dyDescent="0.3">
      <c r="B233" s="73">
        <v>45144</v>
      </c>
      <c r="C233" s="73">
        <v>45144</v>
      </c>
    </row>
    <row r="234" spans="2:3" x14ac:dyDescent="0.3">
      <c r="B234" s="73">
        <v>45168</v>
      </c>
      <c r="C234" s="73">
        <v>45168</v>
      </c>
    </row>
    <row r="235" spans="2:3" x14ac:dyDescent="0.3">
      <c r="B235" s="73">
        <v>45207</v>
      </c>
      <c r="C235" s="73">
        <v>45207</v>
      </c>
    </row>
    <row r="236" spans="2:3" x14ac:dyDescent="0.3">
      <c r="B236" s="73">
        <v>45208</v>
      </c>
      <c r="C236" s="73">
        <v>45208</v>
      </c>
    </row>
    <row r="237" spans="2:3" x14ac:dyDescent="0.3">
      <c r="B237" s="73">
        <v>45231</v>
      </c>
      <c r="C237" s="73">
        <v>45231</v>
      </c>
    </row>
    <row r="238" spans="2:3" x14ac:dyDescent="0.3">
      <c r="B238" s="73">
        <v>45267</v>
      </c>
      <c r="C238" s="73">
        <v>45267</v>
      </c>
    </row>
    <row r="239" spans="2:3" x14ac:dyDescent="0.3">
      <c r="B239" s="73">
        <v>45268</v>
      </c>
      <c r="C239" s="73">
        <v>45268</v>
      </c>
    </row>
    <row r="240" spans="2:3" x14ac:dyDescent="0.3">
      <c r="B240" s="73">
        <v>45269</v>
      </c>
      <c r="C240" s="73">
        <v>45269</v>
      </c>
    </row>
    <row r="241" spans="2:3" x14ac:dyDescent="0.3">
      <c r="B241" s="73">
        <v>45285</v>
      </c>
      <c r="C241" s="73">
        <v>45285</v>
      </c>
    </row>
    <row r="242" spans="2:3" x14ac:dyDescent="0.3">
      <c r="B242" s="73">
        <v>45286</v>
      </c>
      <c r="C242" s="73">
        <v>45286</v>
      </c>
    </row>
    <row r="243" spans="2:3" x14ac:dyDescent="0.3">
      <c r="B243" s="73">
        <v>45292</v>
      </c>
      <c r="C243" s="73">
        <v>45292</v>
      </c>
    </row>
    <row r="244" spans="2:3" x14ac:dyDescent="0.3">
      <c r="B244" s="73">
        <v>45293</v>
      </c>
      <c r="C244" s="73">
        <v>45293</v>
      </c>
    </row>
    <row r="245" spans="2:3" x14ac:dyDescent="0.3">
      <c r="B245" s="73">
        <v>45379</v>
      </c>
      <c r="C245" s="73">
        <v>45379</v>
      </c>
    </row>
    <row r="246" spans="2:3" x14ac:dyDescent="0.3">
      <c r="B246" s="73">
        <v>45380</v>
      </c>
      <c r="C246" s="73">
        <v>45380</v>
      </c>
    </row>
    <row r="247" spans="2:3" x14ac:dyDescent="0.3">
      <c r="B247" s="73">
        <v>45413</v>
      </c>
      <c r="C247" s="73">
        <v>45413</v>
      </c>
    </row>
    <row r="248" spans="2:3" x14ac:dyDescent="0.3">
      <c r="B248" s="73">
        <v>45450</v>
      </c>
      <c r="C248" s="73">
        <v>45450</v>
      </c>
    </row>
    <row r="249" spans="2:3" x14ac:dyDescent="0.3">
      <c r="B249" s="73">
        <v>45472</v>
      </c>
      <c r="C249" s="73">
        <v>45472</v>
      </c>
    </row>
    <row r="250" spans="2:3" x14ac:dyDescent="0.3">
      <c r="B250" s="73">
        <v>45496</v>
      </c>
      <c r="C250" s="73">
        <v>45496</v>
      </c>
    </row>
    <row r="251" spans="2:3" x14ac:dyDescent="0.3">
      <c r="B251" s="73">
        <v>45499</v>
      </c>
      <c r="C251" s="73">
        <v>45499</v>
      </c>
    </row>
    <row r="252" spans="2:3" x14ac:dyDescent="0.3">
      <c r="B252" s="73">
        <v>45502</v>
      </c>
      <c r="C252" s="73">
        <v>45502</v>
      </c>
    </row>
    <row r="253" spans="2:3" x14ac:dyDescent="0.3">
      <c r="B253" s="73">
        <v>45510</v>
      </c>
      <c r="C253" s="73">
        <v>45510</v>
      </c>
    </row>
    <row r="254" spans="2:3" x14ac:dyDescent="0.3">
      <c r="B254" s="73">
        <v>45534</v>
      </c>
      <c r="C254" s="73">
        <v>45534</v>
      </c>
    </row>
    <row r="255" spans="2:3" x14ac:dyDescent="0.3">
      <c r="B255" s="73">
        <v>45572</v>
      </c>
      <c r="C255" s="73">
        <v>45572</v>
      </c>
    </row>
    <row r="256" spans="2:3" x14ac:dyDescent="0.3">
      <c r="B256" s="73">
        <v>45573</v>
      </c>
      <c r="C256" s="73">
        <v>45573</v>
      </c>
    </row>
    <row r="257" spans="2:3" x14ac:dyDescent="0.3">
      <c r="B257" s="73">
        <v>45597</v>
      </c>
      <c r="C257" s="73">
        <v>45597</v>
      </c>
    </row>
    <row r="258" spans="2:3" x14ac:dyDescent="0.3">
      <c r="B258" s="73">
        <v>45632</v>
      </c>
      <c r="C258" s="73">
        <v>45632</v>
      </c>
    </row>
    <row r="259" spans="2:3" x14ac:dyDescent="0.3">
      <c r="B259" s="73">
        <v>45635</v>
      </c>
      <c r="C259" s="73">
        <v>45635</v>
      </c>
    </row>
    <row r="260" spans="2:3" x14ac:dyDescent="0.3">
      <c r="B260" s="73">
        <v>45649</v>
      </c>
      <c r="C260" s="73">
        <v>45649</v>
      </c>
    </row>
    <row r="261" spans="2:3" x14ac:dyDescent="0.3">
      <c r="B261" s="73">
        <v>45650</v>
      </c>
      <c r="C261" s="73">
        <v>45650</v>
      </c>
    </row>
    <row r="262" spans="2:3" x14ac:dyDescent="0.3">
      <c r="B262" s="73">
        <v>45651</v>
      </c>
      <c r="C262" s="73">
        <v>45651</v>
      </c>
    </row>
    <row r="263" spans="2:3" x14ac:dyDescent="0.3">
      <c r="B263" s="73">
        <v>45656</v>
      </c>
      <c r="C263" s="73">
        <v>45656</v>
      </c>
    </row>
    <row r="264" spans="2:3" x14ac:dyDescent="0.3">
      <c r="B264" s="73">
        <v>45657</v>
      </c>
      <c r="C264" s="73">
        <v>45657</v>
      </c>
    </row>
    <row r="265" spans="2:3" x14ac:dyDescent="0.3">
      <c r="B265" s="73">
        <v>45658</v>
      </c>
      <c r="C265" s="73">
        <v>45658</v>
      </c>
    </row>
    <row r="266" spans="2:3" x14ac:dyDescent="0.3">
      <c r="B266" s="73">
        <v>45764</v>
      </c>
      <c r="C266" s="73">
        <v>45764</v>
      </c>
    </row>
    <row r="267" spans="2:3" x14ac:dyDescent="0.3">
      <c r="B267" s="73">
        <v>45765</v>
      </c>
      <c r="C267" s="73">
        <v>45765</v>
      </c>
    </row>
    <row r="268" spans="2:3" x14ac:dyDescent="0.3">
      <c r="B268" s="73">
        <v>45778</v>
      </c>
      <c r="C268" s="73">
        <v>45778</v>
      </c>
    </row>
    <row r="269" spans="2:3" x14ac:dyDescent="0.3">
      <c r="B269" s="73">
        <v>45779</v>
      </c>
      <c r="C269" s="73">
        <v>45779</v>
      </c>
    </row>
    <row r="270" spans="2:3" x14ac:dyDescent="0.3">
      <c r="B270" s="73">
        <v>45815</v>
      </c>
      <c r="C270" s="73">
        <v>45815</v>
      </c>
    </row>
    <row r="271" spans="2:3" x14ac:dyDescent="0.3">
      <c r="B271" s="73">
        <v>45837</v>
      </c>
      <c r="C271" s="73">
        <v>45837</v>
      </c>
    </row>
    <row r="272" spans="2:3" x14ac:dyDescent="0.3">
      <c r="B272" s="73">
        <v>45861</v>
      </c>
      <c r="C272" s="73">
        <v>45861</v>
      </c>
    </row>
    <row r="273" spans="2:3" x14ac:dyDescent="0.3">
      <c r="B273" s="73">
        <v>45866</v>
      </c>
      <c r="C273" s="73">
        <v>45866</v>
      </c>
    </row>
    <row r="274" spans="2:3" x14ac:dyDescent="0.3">
      <c r="B274" s="73">
        <v>45867</v>
      </c>
      <c r="C274" s="73">
        <v>45867</v>
      </c>
    </row>
    <row r="275" spans="2:3" x14ac:dyDescent="0.3">
      <c r="B275" s="73">
        <v>45875</v>
      </c>
      <c r="C275" s="73">
        <v>45875</v>
      </c>
    </row>
    <row r="276" spans="2:3" x14ac:dyDescent="0.3">
      <c r="B276" s="73">
        <v>45899</v>
      </c>
      <c r="C276" s="73">
        <v>45899</v>
      </c>
    </row>
    <row r="277" spans="2:3" x14ac:dyDescent="0.3">
      <c r="B277" s="73">
        <v>45938</v>
      </c>
      <c r="C277" s="73">
        <v>45938</v>
      </c>
    </row>
    <row r="278" spans="2:3" x14ac:dyDescent="0.3">
      <c r="B278" s="73">
        <v>45962</v>
      </c>
      <c r="C278" s="73">
        <v>45962</v>
      </c>
    </row>
    <row r="279" spans="2:3" x14ac:dyDescent="0.3">
      <c r="B279" s="73">
        <v>45999</v>
      </c>
      <c r="C279" s="73">
        <v>45999</v>
      </c>
    </row>
    <row r="280" spans="2:3" x14ac:dyDescent="0.3">
      <c r="B280" s="73">
        <v>46000</v>
      </c>
      <c r="C280" s="73">
        <v>46000</v>
      </c>
    </row>
    <row r="281" spans="2:3" x14ac:dyDescent="0.3">
      <c r="B281" s="73">
        <v>46016</v>
      </c>
      <c r="C281" s="73">
        <v>46016</v>
      </c>
    </row>
    <row r="282" spans="2:3" x14ac:dyDescent="0.3">
      <c r="B282" s="73">
        <v>46017</v>
      </c>
      <c r="C282" s="73">
        <v>46017</v>
      </c>
    </row>
    <row r="283" spans="2:3" x14ac:dyDescent="0.3">
      <c r="B283" s="73">
        <v>46023</v>
      </c>
      <c r="C283" s="73">
        <v>46023</v>
      </c>
    </row>
    <row r="284" spans="2:3" x14ac:dyDescent="0.3">
      <c r="B284" s="73">
        <v>46024</v>
      </c>
      <c r="C284" s="73">
        <v>46024</v>
      </c>
    </row>
    <row r="285" spans="2:3" x14ac:dyDescent="0.3">
      <c r="B285" s="73">
        <v>46115</v>
      </c>
      <c r="C285" s="73">
        <v>46115</v>
      </c>
    </row>
    <row r="286" spans="2:3" x14ac:dyDescent="0.3">
      <c r="B286" s="73">
        <v>46143</v>
      </c>
      <c r="C286" s="73">
        <v>46143</v>
      </c>
    </row>
    <row r="287" spans="2:3" x14ac:dyDescent="0.3">
      <c r="B287" s="73">
        <v>46180</v>
      </c>
      <c r="C287" s="73">
        <v>46180</v>
      </c>
    </row>
    <row r="288" spans="2:3" x14ac:dyDescent="0.3">
      <c r="B288" s="73">
        <v>46202</v>
      </c>
      <c r="C288" s="73">
        <v>46202</v>
      </c>
    </row>
    <row r="289" spans="2:3" x14ac:dyDescent="0.3">
      <c r="B289" s="73">
        <v>46226</v>
      </c>
      <c r="C289" s="73">
        <v>46226</v>
      </c>
    </row>
    <row r="290" spans="2:3" x14ac:dyDescent="0.3">
      <c r="B290" s="73">
        <v>46231</v>
      </c>
      <c r="C290" s="73">
        <v>46231</v>
      </c>
    </row>
    <row r="291" spans="2:3" x14ac:dyDescent="0.3">
      <c r="B291" s="73">
        <v>46232</v>
      </c>
      <c r="C291" s="73">
        <v>46232</v>
      </c>
    </row>
    <row r="292" spans="2:3" x14ac:dyDescent="0.3">
      <c r="B292" s="73">
        <v>46240</v>
      </c>
      <c r="C292" s="73">
        <v>46240</v>
      </c>
    </row>
    <row r="293" spans="2:3" x14ac:dyDescent="0.3">
      <c r="B293" s="73">
        <v>46264</v>
      </c>
      <c r="C293" s="73">
        <v>46264</v>
      </c>
    </row>
    <row r="294" spans="2:3" x14ac:dyDescent="0.3">
      <c r="B294" s="73">
        <v>46303</v>
      </c>
      <c r="C294" s="73">
        <v>46303</v>
      </c>
    </row>
    <row r="295" spans="2:3" x14ac:dyDescent="0.3">
      <c r="B295" s="73">
        <v>46327</v>
      </c>
      <c r="C295" s="73">
        <v>46327</v>
      </c>
    </row>
    <row r="296" spans="2:3" x14ac:dyDescent="0.3">
      <c r="B296" s="73">
        <v>46364</v>
      </c>
      <c r="C296" s="73">
        <v>46364</v>
      </c>
    </row>
    <row r="297" spans="2:3" x14ac:dyDescent="0.3">
      <c r="B297" s="73">
        <v>46365</v>
      </c>
      <c r="C297" s="73">
        <v>46365</v>
      </c>
    </row>
    <row r="298" spans="2:3" x14ac:dyDescent="0.3">
      <c r="B298" s="73">
        <v>46381</v>
      </c>
      <c r="C298" s="73">
        <v>46381</v>
      </c>
    </row>
  </sheetData>
  <conditionalFormatting sqref="F28:I28">
    <cfRule type="cellIs" priority="2" operator="equal">
      <formula>$B$8</formula>
    </cfRule>
  </conditionalFormatting>
  <conditionalFormatting sqref="W19">
    <cfRule type="cellIs" priority="1" operator="equal">
      <formula>$B$15</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36"/>
  <sheetViews>
    <sheetView showGridLines="0" showRowColHeaders="0" workbookViewId="0">
      <pane ySplit="1" topLeftCell="A16" activePane="bottomLeft" state="frozen"/>
      <selection pane="bottomLeft" activeCell="D35" sqref="D35"/>
    </sheetView>
  </sheetViews>
  <sheetFormatPr baseColWidth="10" defaultColWidth="9.28515625" defaultRowHeight="12.75" x14ac:dyDescent="0.25"/>
  <cols>
    <col min="1" max="1" width="1.42578125" style="3" customWidth="1"/>
    <col min="2" max="2" width="10.42578125" style="3" bestFit="1" customWidth="1"/>
    <col min="3" max="3" width="3" style="3" bestFit="1" customWidth="1"/>
    <col min="4" max="4" width="12.42578125" style="3" customWidth="1"/>
    <col min="5" max="5" width="2" style="3" bestFit="1" customWidth="1"/>
    <col min="6" max="6" width="69.42578125" style="3" customWidth="1"/>
    <col min="7" max="16384" width="9.28515625" style="3"/>
  </cols>
  <sheetData>
    <row r="1" spans="2:6" ht="68.25" customHeight="1" thickBot="1" x14ac:dyDescent="0.3"/>
    <row r="2" spans="2:6" ht="21" thickBot="1" x14ac:dyDescent="0.3">
      <c r="B2" s="293" t="s">
        <v>0</v>
      </c>
      <c r="C2" s="294"/>
      <c r="D2" s="294"/>
      <c r="E2" s="294"/>
      <c r="F2" s="295"/>
    </row>
    <row r="3" spans="2:6" ht="15" customHeight="1" thickBot="1" x14ac:dyDescent="0.3">
      <c r="B3" s="308" t="s">
        <v>20</v>
      </c>
      <c r="C3" s="301" t="s">
        <v>34</v>
      </c>
      <c r="D3" s="302"/>
      <c r="E3" s="302"/>
      <c r="F3" s="303"/>
    </row>
    <row r="4" spans="2:6" x14ac:dyDescent="0.25">
      <c r="B4" s="309"/>
      <c r="C4" s="4">
        <v>1</v>
      </c>
      <c r="D4" s="290" t="s">
        <v>1</v>
      </c>
      <c r="E4" s="290"/>
      <c r="F4" s="291"/>
    </row>
    <row r="5" spans="2:6" x14ac:dyDescent="0.25">
      <c r="B5" s="309"/>
      <c r="C5" s="4">
        <v>2</v>
      </c>
      <c r="D5" s="290" t="s">
        <v>2</v>
      </c>
      <c r="E5" s="290"/>
      <c r="F5" s="291"/>
    </row>
    <row r="6" spans="2:6" x14ac:dyDescent="0.25">
      <c r="B6" s="309"/>
      <c r="C6" s="4">
        <v>3</v>
      </c>
      <c r="D6" s="290" t="s">
        <v>3</v>
      </c>
      <c r="E6" s="290"/>
      <c r="F6" s="291"/>
    </row>
    <row r="7" spans="2:6" x14ac:dyDescent="0.25">
      <c r="B7" s="309"/>
      <c r="C7" s="4">
        <v>4</v>
      </c>
      <c r="D7" s="290" t="s">
        <v>4</v>
      </c>
      <c r="E7" s="290"/>
      <c r="F7" s="291"/>
    </row>
    <row r="8" spans="2:6" ht="13.5" thickBot="1" x14ac:dyDescent="0.3">
      <c r="B8" s="310"/>
      <c r="C8" s="5">
        <v>5</v>
      </c>
      <c r="D8" s="299" t="s">
        <v>5</v>
      </c>
      <c r="E8" s="299"/>
      <c r="F8" s="300"/>
    </row>
    <row r="9" spans="2:6" ht="15" customHeight="1" thickBot="1" x14ac:dyDescent="0.3">
      <c r="B9" s="315" t="s">
        <v>19</v>
      </c>
      <c r="C9" s="304" t="s">
        <v>35</v>
      </c>
      <c r="D9" s="305"/>
      <c r="E9" s="305"/>
      <c r="F9" s="306"/>
    </row>
    <row r="10" spans="2:6" x14ac:dyDescent="0.25">
      <c r="B10" s="316"/>
      <c r="C10" s="4">
        <v>1</v>
      </c>
      <c r="D10" s="290" t="s">
        <v>6</v>
      </c>
      <c r="E10" s="290"/>
      <c r="F10" s="291"/>
    </row>
    <row r="11" spans="2:6" x14ac:dyDescent="0.25">
      <c r="B11" s="316"/>
      <c r="C11" s="4">
        <v>2</v>
      </c>
      <c r="D11" s="290" t="s">
        <v>7</v>
      </c>
      <c r="E11" s="290"/>
      <c r="F11" s="291"/>
    </row>
    <row r="12" spans="2:6" x14ac:dyDescent="0.25">
      <c r="B12" s="316"/>
      <c r="C12" s="4">
        <v>3</v>
      </c>
      <c r="D12" s="290" t="s">
        <v>8</v>
      </c>
      <c r="E12" s="290"/>
      <c r="F12" s="291"/>
    </row>
    <row r="13" spans="2:6" x14ac:dyDescent="0.25">
      <c r="B13" s="316"/>
      <c r="C13" s="4">
        <v>4</v>
      </c>
      <c r="D13" s="290" t="s">
        <v>9</v>
      </c>
      <c r="E13" s="290"/>
      <c r="F13" s="291"/>
    </row>
    <row r="14" spans="2:6" x14ac:dyDescent="0.25">
      <c r="B14" s="316"/>
      <c r="C14" s="4">
        <v>5</v>
      </c>
      <c r="D14" s="290" t="s">
        <v>10</v>
      </c>
      <c r="E14" s="290"/>
      <c r="F14" s="291"/>
    </row>
    <row r="15" spans="2:6" x14ac:dyDescent="0.25">
      <c r="B15" s="316"/>
      <c r="C15" s="4">
        <v>6</v>
      </c>
      <c r="D15" s="290" t="s">
        <v>11</v>
      </c>
      <c r="E15" s="290"/>
      <c r="F15" s="291"/>
    </row>
    <row r="16" spans="2:6" x14ac:dyDescent="0.25">
      <c r="B16" s="316"/>
      <c r="C16" s="4">
        <v>7</v>
      </c>
      <c r="D16" s="290" t="s">
        <v>12</v>
      </c>
      <c r="E16" s="290"/>
      <c r="F16" s="291"/>
    </row>
    <row r="17" spans="2:6" x14ac:dyDescent="0.25">
      <c r="B17" s="316"/>
      <c r="C17" s="4">
        <v>8</v>
      </c>
      <c r="D17" s="290" t="s">
        <v>13</v>
      </c>
      <c r="E17" s="290"/>
      <c r="F17" s="291"/>
    </row>
    <row r="18" spans="2:6" x14ac:dyDescent="0.25">
      <c r="B18" s="316"/>
      <c r="C18" s="4">
        <v>9</v>
      </c>
      <c r="D18" s="290" t="s">
        <v>14</v>
      </c>
      <c r="E18" s="290"/>
      <c r="F18" s="291"/>
    </row>
    <row r="19" spans="2:6" x14ac:dyDescent="0.25">
      <c r="B19" s="316"/>
      <c r="C19" s="307">
        <v>10</v>
      </c>
      <c r="D19" s="292" t="s">
        <v>15</v>
      </c>
      <c r="E19" s="6" t="s">
        <v>31</v>
      </c>
      <c r="F19" s="7" t="s">
        <v>16</v>
      </c>
    </row>
    <row r="20" spans="2:6" x14ac:dyDescent="0.25">
      <c r="B20" s="316"/>
      <c r="C20" s="307"/>
      <c r="D20" s="292"/>
      <c r="E20" s="4" t="s">
        <v>32</v>
      </c>
      <c r="F20" s="7" t="s">
        <v>17</v>
      </c>
    </row>
    <row r="21" spans="2:6" ht="13.5" thickBot="1" x14ac:dyDescent="0.3">
      <c r="B21" s="316"/>
      <c r="C21" s="307"/>
      <c r="D21" s="292"/>
      <c r="E21" s="4" t="s">
        <v>33</v>
      </c>
      <c r="F21" s="7" t="s">
        <v>18</v>
      </c>
    </row>
    <row r="22" spans="2:6" ht="31.5" customHeight="1" thickBot="1" x14ac:dyDescent="0.3">
      <c r="B22" s="317"/>
      <c r="C22" s="311" t="s">
        <v>37</v>
      </c>
      <c r="D22" s="312"/>
      <c r="E22" s="312"/>
      <c r="F22" s="313"/>
    </row>
    <row r="23" spans="2:6" ht="21" thickBot="1" x14ac:dyDescent="0.3">
      <c r="B23" s="296" t="s">
        <v>80</v>
      </c>
      <c r="C23" s="297"/>
      <c r="D23" s="297"/>
      <c r="E23" s="297"/>
      <c r="F23" s="298"/>
    </row>
    <row r="24" spans="2:6" ht="15" customHeight="1" thickBot="1" x14ac:dyDescent="0.3">
      <c r="B24" s="318" t="s">
        <v>19</v>
      </c>
      <c r="C24" s="321" t="s">
        <v>36</v>
      </c>
      <c r="D24" s="322"/>
      <c r="E24" s="322"/>
      <c r="F24" s="323"/>
    </row>
    <row r="25" spans="2:6" x14ac:dyDescent="0.25">
      <c r="B25" s="319"/>
      <c r="C25" s="4">
        <v>1</v>
      </c>
      <c r="D25" s="290" t="s">
        <v>21</v>
      </c>
      <c r="E25" s="290"/>
      <c r="F25" s="291"/>
    </row>
    <row r="26" spans="2:6" x14ac:dyDescent="0.25">
      <c r="B26" s="319"/>
      <c r="C26" s="4">
        <v>2</v>
      </c>
      <c r="D26" s="290" t="s">
        <v>22</v>
      </c>
      <c r="E26" s="290"/>
      <c r="F26" s="291"/>
    </row>
    <row r="27" spans="2:6" x14ac:dyDescent="0.25">
      <c r="B27" s="319"/>
      <c r="C27" s="4">
        <v>3</v>
      </c>
      <c r="D27" s="290" t="s">
        <v>23</v>
      </c>
      <c r="E27" s="290"/>
      <c r="F27" s="291"/>
    </row>
    <row r="28" spans="2:6" x14ac:dyDescent="0.25">
      <c r="B28" s="319"/>
      <c r="C28" s="4">
        <v>4</v>
      </c>
      <c r="D28" s="290" t="s">
        <v>24</v>
      </c>
      <c r="E28" s="290"/>
      <c r="F28" s="291"/>
    </row>
    <row r="29" spans="2:6" x14ac:dyDescent="0.25">
      <c r="B29" s="319"/>
      <c r="C29" s="4">
        <v>5</v>
      </c>
      <c r="D29" s="290" t="s">
        <v>25</v>
      </c>
      <c r="E29" s="290"/>
      <c r="F29" s="291"/>
    </row>
    <row r="30" spans="2:6" x14ac:dyDescent="0.25">
      <c r="B30" s="319"/>
      <c r="C30" s="4">
        <v>6</v>
      </c>
      <c r="D30" s="290" t="s">
        <v>26</v>
      </c>
      <c r="E30" s="290"/>
      <c r="F30" s="291"/>
    </row>
    <row r="31" spans="2:6" x14ac:dyDescent="0.25">
      <c r="B31" s="319"/>
      <c r="C31" s="4">
        <v>7</v>
      </c>
      <c r="D31" s="290" t="s">
        <v>27</v>
      </c>
      <c r="E31" s="290"/>
      <c r="F31" s="291"/>
    </row>
    <row r="32" spans="2:6" x14ac:dyDescent="0.25">
      <c r="B32" s="319"/>
      <c r="C32" s="4">
        <v>8</v>
      </c>
      <c r="D32" s="290" t="s">
        <v>28</v>
      </c>
      <c r="E32" s="290"/>
      <c r="F32" s="291"/>
    </row>
    <row r="33" spans="2:6" x14ac:dyDescent="0.25">
      <c r="B33" s="319"/>
      <c r="C33" s="4">
        <v>9</v>
      </c>
      <c r="D33" s="290" t="s">
        <v>29</v>
      </c>
      <c r="E33" s="290"/>
      <c r="F33" s="291"/>
    </row>
    <row r="34" spans="2:6" ht="13.5" thickBot="1" x14ac:dyDescent="0.3">
      <c r="B34" s="320"/>
      <c r="C34" s="5">
        <v>10</v>
      </c>
      <c r="D34" s="299" t="s">
        <v>30</v>
      </c>
      <c r="E34" s="299"/>
      <c r="F34" s="300"/>
    </row>
    <row r="36" spans="2:6" ht="123" customHeight="1" x14ac:dyDescent="0.25">
      <c r="B36" s="314" t="s">
        <v>81</v>
      </c>
      <c r="C36" s="314"/>
      <c r="D36" s="314"/>
      <c r="E36" s="314"/>
      <c r="F36" s="314"/>
    </row>
  </sheetData>
  <sheetProtection sheet="1" objects="1" scenarios="1"/>
  <mergeCells count="36">
    <mergeCell ref="D29:F29"/>
    <mergeCell ref="D13:F13"/>
    <mergeCell ref="D14:F14"/>
    <mergeCell ref="D18:F18"/>
    <mergeCell ref="C19:C21"/>
    <mergeCell ref="B3:B8"/>
    <mergeCell ref="C22:F22"/>
    <mergeCell ref="D15:F15"/>
    <mergeCell ref="B36:F36"/>
    <mergeCell ref="B9:B22"/>
    <mergeCell ref="B24:B34"/>
    <mergeCell ref="D30:F30"/>
    <mergeCell ref="D31:F31"/>
    <mergeCell ref="D32:F32"/>
    <mergeCell ref="D33:F33"/>
    <mergeCell ref="D34:F34"/>
    <mergeCell ref="C24:F24"/>
    <mergeCell ref="D25:F25"/>
    <mergeCell ref="D26:F26"/>
    <mergeCell ref="D27:F27"/>
    <mergeCell ref="D28:F28"/>
    <mergeCell ref="D19:D21"/>
    <mergeCell ref="D17:F17"/>
    <mergeCell ref="D16:F16"/>
    <mergeCell ref="B2:F2"/>
    <mergeCell ref="B23:F23"/>
    <mergeCell ref="D4:F4"/>
    <mergeCell ref="D5:F5"/>
    <mergeCell ref="D6:F6"/>
    <mergeCell ref="D7:F7"/>
    <mergeCell ref="D8:F8"/>
    <mergeCell ref="C3:F3"/>
    <mergeCell ref="C9:F9"/>
    <mergeCell ref="D10:F10"/>
    <mergeCell ref="D11:F11"/>
    <mergeCell ref="D12:F12"/>
  </mergeCells>
  <pageMargins left="0.7" right="0.7" top="0.75" bottom="0.75" header="0.3" footer="0.3"/>
  <pageSetup paperSize="9" orientation="portrait" horizontalDpi="4294967295" verticalDpi="4294967295"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26"/>
  <sheetViews>
    <sheetView topLeftCell="A4513" workbookViewId="0">
      <selection activeCell="B4534" sqref="B4534"/>
    </sheetView>
  </sheetViews>
  <sheetFormatPr baseColWidth="10" defaultRowHeight="15" x14ac:dyDescent="0.25"/>
  <cols>
    <col min="1" max="1" width="9.5703125" bestFit="1" customWidth="1"/>
    <col min="2" max="2" width="10.7109375" bestFit="1" customWidth="1"/>
    <col min="3" max="4" width="13.7109375" bestFit="1" customWidth="1"/>
    <col min="5" max="5" width="11.28515625" bestFit="1" customWidth="1"/>
    <col min="6" max="6" width="13.7109375" bestFit="1" customWidth="1"/>
    <col min="7" max="7" width="3.7109375" bestFit="1" customWidth="1"/>
    <col min="10" max="10" width="17.5703125" bestFit="1" customWidth="1"/>
    <col min="11" max="11" width="10.5703125" bestFit="1" customWidth="1"/>
    <col min="12" max="12" width="6.42578125" customWidth="1"/>
  </cols>
  <sheetData>
    <row r="1" spans="1:12" x14ac:dyDescent="0.25">
      <c r="A1" t="s">
        <v>53</v>
      </c>
      <c r="B1" s="1">
        <v>42219</v>
      </c>
      <c r="C1" t="s">
        <v>41</v>
      </c>
      <c r="D1" t="s">
        <v>41</v>
      </c>
      <c r="E1" t="s">
        <v>55</v>
      </c>
      <c r="F1" t="s">
        <v>42</v>
      </c>
      <c r="G1" t="s">
        <v>60</v>
      </c>
      <c r="H1" t="s">
        <v>69</v>
      </c>
      <c r="I1" t="s">
        <v>76</v>
      </c>
      <c r="J1" t="s">
        <v>90</v>
      </c>
      <c r="K1" t="s">
        <v>97</v>
      </c>
      <c r="L1">
        <v>0</v>
      </c>
    </row>
    <row r="2" spans="1:12" x14ac:dyDescent="0.25">
      <c r="A2" t="s">
        <v>39</v>
      </c>
      <c r="B2" s="1">
        <v>42220</v>
      </c>
      <c r="C2" t="s">
        <v>42</v>
      </c>
      <c r="D2" t="s">
        <v>43</v>
      </c>
      <c r="E2" t="s">
        <v>20</v>
      </c>
      <c r="F2" t="s">
        <v>56</v>
      </c>
      <c r="G2" t="s">
        <v>61</v>
      </c>
      <c r="H2" t="s">
        <v>70</v>
      </c>
      <c r="I2" t="s">
        <v>77</v>
      </c>
      <c r="J2" t="s">
        <v>89</v>
      </c>
      <c r="K2" t="s">
        <v>96</v>
      </c>
      <c r="L2">
        <v>1</v>
      </c>
    </row>
    <row r="3" spans="1:12" x14ac:dyDescent="0.25">
      <c r="B3" s="1">
        <v>42221</v>
      </c>
      <c r="C3" t="s">
        <v>50</v>
      </c>
      <c r="L3">
        <v>2</v>
      </c>
    </row>
    <row r="4" spans="1:12" x14ac:dyDescent="0.25">
      <c r="B4" s="1">
        <v>42222</v>
      </c>
      <c r="L4">
        <v>3</v>
      </c>
    </row>
    <row r="5" spans="1:12" x14ac:dyDescent="0.25">
      <c r="B5" s="1">
        <v>42223</v>
      </c>
      <c r="L5">
        <v>4</v>
      </c>
    </row>
    <row r="6" spans="1:12" x14ac:dyDescent="0.25">
      <c r="B6" s="1">
        <v>42224</v>
      </c>
      <c r="L6">
        <v>5</v>
      </c>
    </row>
    <row r="7" spans="1:12" x14ac:dyDescent="0.25">
      <c r="B7" s="1">
        <v>42225</v>
      </c>
      <c r="L7">
        <v>6</v>
      </c>
    </row>
    <row r="8" spans="1:12" x14ac:dyDescent="0.25">
      <c r="B8" s="1">
        <v>42226</v>
      </c>
      <c r="L8">
        <v>7</v>
      </c>
    </row>
    <row r="9" spans="1:12" x14ac:dyDescent="0.25">
      <c r="B9" s="1">
        <v>42227</v>
      </c>
      <c r="L9">
        <v>8</v>
      </c>
    </row>
    <row r="10" spans="1:12" x14ac:dyDescent="0.25">
      <c r="B10" s="1">
        <v>42228</v>
      </c>
      <c r="L10">
        <v>9</v>
      </c>
    </row>
    <row r="11" spans="1:12" x14ac:dyDescent="0.25">
      <c r="B11" s="1">
        <v>42229</v>
      </c>
      <c r="L11">
        <v>10</v>
      </c>
    </row>
    <row r="12" spans="1:12" x14ac:dyDescent="0.25">
      <c r="B12" s="1">
        <v>42230</v>
      </c>
      <c r="L12">
        <v>11</v>
      </c>
    </row>
    <row r="13" spans="1:12" x14ac:dyDescent="0.25">
      <c r="B13" s="1">
        <v>42231</v>
      </c>
      <c r="L13">
        <v>12</v>
      </c>
    </row>
    <row r="14" spans="1:12" x14ac:dyDescent="0.25">
      <c r="B14" s="1">
        <v>42232</v>
      </c>
      <c r="L14">
        <v>13</v>
      </c>
    </row>
    <row r="15" spans="1:12" x14ac:dyDescent="0.25">
      <c r="B15" s="1">
        <v>42233</v>
      </c>
      <c r="L15">
        <v>14</v>
      </c>
    </row>
    <row r="16" spans="1:12" x14ac:dyDescent="0.25">
      <c r="B16" s="1">
        <v>42234</v>
      </c>
      <c r="L16">
        <v>15</v>
      </c>
    </row>
    <row r="17" spans="2:12" x14ac:dyDescent="0.25">
      <c r="B17" s="1">
        <v>42235</v>
      </c>
      <c r="L17">
        <v>16</v>
      </c>
    </row>
    <row r="18" spans="2:12" x14ac:dyDescent="0.25">
      <c r="B18" s="1">
        <v>42236</v>
      </c>
      <c r="L18">
        <v>17</v>
      </c>
    </row>
    <row r="19" spans="2:12" x14ac:dyDescent="0.25">
      <c r="B19" s="1">
        <v>42237</v>
      </c>
      <c r="L19">
        <v>18</v>
      </c>
    </row>
    <row r="20" spans="2:12" x14ac:dyDescent="0.25">
      <c r="B20" s="1">
        <v>42238</v>
      </c>
      <c r="L20">
        <v>19</v>
      </c>
    </row>
    <row r="21" spans="2:12" x14ac:dyDescent="0.25">
      <c r="B21" s="1">
        <v>42239</v>
      </c>
      <c r="L21">
        <v>20</v>
      </c>
    </row>
    <row r="22" spans="2:12" x14ac:dyDescent="0.25">
      <c r="B22" s="1">
        <v>42240</v>
      </c>
      <c r="L22">
        <v>21</v>
      </c>
    </row>
    <row r="23" spans="2:12" x14ac:dyDescent="0.25">
      <c r="B23" s="1">
        <v>42241</v>
      </c>
      <c r="L23">
        <v>22</v>
      </c>
    </row>
    <row r="24" spans="2:12" x14ac:dyDescent="0.25">
      <c r="B24" s="1">
        <v>42242</v>
      </c>
      <c r="L24">
        <v>23</v>
      </c>
    </row>
    <row r="25" spans="2:12" x14ac:dyDescent="0.25">
      <c r="B25" s="1">
        <v>42243</v>
      </c>
      <c r="L25">
        <v>24</v>
      </c>
    </row>
    <row r="26" spans="2:12" x14ac:dyDescent="0.25">
      <c r="B26" s="1">
        <v>42244</v>
      </c>
      <c r="L26">
        <v>25</v>
      </c>
    </row>
    <row r="27" spans="2:12" x14ac:dyDescent="0.25">
      <c r="B27" s="1">
        <v>42245</v>
      </c>
      <c r="L27">
        <v>26</v>
      </c>
    </row>
    <row r="28" spans="2:12" x14ac:dyDescent="0.25">
      <c r="B28" s="1">
        <v>42246</v>
      </c>
      <c r="L28">
        <v>27</v>
      </c>
    </row>
    <row r="29" spans="2:12" x14ac:dyDescent="0.25">
      <c r="B29" s="1">
        <v>42247</v>
      </c>
      <c r="L29">
        <v>28</v>
      </c>
    </row>
    <row r="30" spans="2:12" x14ac:dyDescent="0.25">
      <c r="B30" s="1">
        <v>42248</v>
      </c>
      <c r="L30">
        <v>29</v>
      </c>
    </row>
    <row r="31" spans="2:12" x14ac:dyDescent="0.25">
      <c r="B31" s="1">
        <v>42249</v>
      </c>
      <c r="L31">
        <v>30</v>
      </c>
    </row>
    <row r="32" spans="2:12" x14ac:dyDescent="0.25">
      <c r="B32" s="1">
        <v>42250</v>
      </c>
      <c r="L32">
        <v>31</v>
      </c>
    </row>
    <row r="33" spans="2:12" x14ac:dyDescent="0.25">
      <c r="B33" s="1">
        <v>42251</v>
      </c>
      <c r="L33">
        <v>32</v>
      </c>
    </row>
    <row r="34" spans="2:12" x14ac:dyDescent="0.25">
      <c r="B34" s="1">
        <v>42252</v>
      </c>
      <c r="L34">
        <v>33</v>
      </c>
    </row>
    <row r="35" spans="2:12" x14ac:dyDescent="0.25">
      <c r="B35" s="1">
        <v>42253</v>
      </c>
      <c r="L35">
        <v>34</v>
      </c>
    </row>
    <row r="36" spans="2:12" x14ac:dyDescent="0.25">
      <c r="B36" s="1">
        <v>42254</v>
      </c>
      <c r="L36">
        <v>35</v>
      </c>
    </row>
    <row r="37" spans="2:12" x14ac:dyDescent="0.25">
      <c r="B37" s="1">
        <v>42255</v>
      </c>
      <c r="L37">
        <v>36</v>
      </c>
    </row>
    <row r="38" spans="2:12" x14ac:dyDescent="0.25">
      <c r="B38" s="1">
        <v>42256</v>
      </c>
      <c r="L38">
        <v>37</v>
      </c>
    </row>
    <row r="39" spans="2:12" x14ac:dyDescent="0.25">
      <c r="B39" s="1">
        <v>42257</v>
      </c>
      <c r="L39">
        <v>38</v>
      </c>
    </row>
    <row r="40" spans="2:12" x14ac:dyDescent="0.25">
      <c r="B40" s="1">
        <v>42258</v>
      </c>
      <c r="L40">
        <v>39</v>
      </c>
    </row>
    <row r="41" spans="2:12" x14ac:dyDescent="0.25">
      <c r="B41" s="1">
        <v>42259</v>
      </c>
      <c r="L41">
        <v>40</v>
      </c>
    </row>
    <row r="42" spans="2:12" x14ac:dyDescent="0.25">
      <c r="B42" s="1">
        <v>42260</v>
      </c>
      <c r="L42">
        <v>41</v>
      </c>
    </row>
    <row r="43" spans="2:12" x14ac:dyDescent="0.25">
      <c r="B43" s="1">
        <v>42261</v>
      </c>
      <c r="L43">
        <v>42</v>
      </c>
    </row>
    <row r="44" spans="2:12" x14ac:dyDescent="0.25">
      <c r="B44" s="1">
        <v>42262</v>
      </c>
      <c r="L44">
        <v>43</v>
      </c>
    </row>
    <row r="45" spans="2:12" x14ac:dyDescent="0.25">
      <c r="B45" s="1">
        <v>42263</v>
      </c>
      <c r="L45">
        <v>44</v>
      </c>
    </row>
    <row r="46" spans="2:12" x14ac:dyDescent="0.25">
      <c r="B46" s="1">
        <v>42264</v>
      </c>
      <c r="L46">
        <v>45</v>
      </c>
    </row>
    <row r="47" spans="2:12" x14ac:dyDescent="0.25">
      <c r="B47" s="1">
        <v>42265</v>
      </c>
      <c r="L47">
        <v>46</v>
      </c>
    </row>
    <row r="48" spans="2:12" x14ac:dyDescent="0.25">
      <c r="B48" s="1">
        <v>42266</v>
      </c>
      <c r="L48">
        <v>47</v>
      </c>
    </row>
    <row r="49" spans="2:12" x14ac:dyDescent="0.25">
      <c r="B49" s="1">
        <v>42267</v>
      </c>
      <c r="L49">
        <v>48</v>
      </c>
    </row>
    <row r="50" spans="2:12" x14ac:dyDescent="0.25">
      <c r="B50" s="1">
        <v>42268</v>
      </c>
      <c r="L50">
        <v>49</v>
      </c>
    </row>
    <row r="51" spans="2:12" x14ac:dyDescent="0.25">
      <c r="B51" s="1">
        <v>42269</v>
      </c>
      <c r="L51">
        <v>50</v>
      </c>
    </row>
    <row r="52" spans="2:12" x14ac:dyDescent="0.25">
      <c r="B52" s="1">
        <v>42270</v>
      </c>
      <c r="L52">
        <v>51</v>
      </c>
    </row>
    <row r="53" spans="2:12" x14ac:dyDescent="0.25">
      <c r="B53" s="1">
        <v>42271</v>
      </c>
      <c r="L53">
        <v>52</v>
      </c>
    </row>
    <row r="54" spans="2:12" x14ac:dyDescent="0.25">
      <c r="B54" s="1">
        <v>42272</v>
      </c>
      <c r="L54">
        <v>53</v>
      </c>
    </row>
    <row r="55" spans="2:12" x14ac:dyDescent="0.25">
      <c r="B55" s="1">
        <v>42273</v>
      </c>
      <c r="L55">
        <v>54</v>
      </c>
    </row>
    <row r="56" spans="2:12" x14ac:dyDescent="0.25">
      <c r="B56" s="1">
        <v>42274</v>
      </c>
      <c r="L56">
        <v>55</v>
      </c>
    </row>
    <row r="57" spans="2:12" x14ac:dyDescent="0.25">
      <c r="B57" s="1">
        <v>42275</v>
      </c>
      <c r="L57">
        <v>56</v>
      </c>
    </row>
    <row r="58" spans="2:12" x14ac:dyDescent="0.25">
      <c r="B58" s="1">
        <v>42276</v>
      </c>
      <c r="L58">
        <v>57</v>
      </c>
    </row>
    <row r="59" spans="2:12" x14ac:dyDescent="0.25">
      <c r="B59" s="1">
        <v>42277</v>
      </c>
      <c r="L59">
        <v>58</v>
      </c>
    </row>
    <row r="60" spans="2:12" x14ac:dyDescent="0.25">
      <c r="B60" s="1">
        <v>42278</v>
      </c>
      <c r="L60">
        <v>59</v>
      </c>
    </row>
    <row r="61" spans="2:12" x14ac:dyDescent="0.25">
      <c r="B61" s="1">
        <v>42279</v>
      </c>
      <c r="L61">
        <v>60</v>
      </c>
    </row>
    <row r="62" spans="2:12" x14ac:dyDescent="0.25">
      <c r="B62" s="1">
        <v>42280</v>
      </c>
      <c r="L62">
        <v>61</v>
      </c>
    </row>
    <row r="63" spans="2:12" x14ac:dyDescent="0.25">
      <c r="B63" s="1">
        <v>42281</v>
      </c>
      <c r="L63">
        <v>62</v>
      </c>
    </row>
    <row r="64" spans="2:12" x14ac:dyDescent="0.25">
      <c r="B64" s="1">
        <v>42282</v>
      </c>
      <c r="L64">
        <v>63</v>
      </c>
    </row>
    <row r="65" spans="2:12" x14ac:dyDescent="0.25">
      <c r="B65" s="1">
        <v>42283</v>
      </c>
      <c r="L65">
        <v>64</v>
      </c>
    </row>
    <row r="66" spans="2:12" x14ac:dyDescent="0.25">
      <c r="B66" s="1">
        <v>42284</v>
      </c>
      <c r="L66">
        <v>65</v>
      </c>
    </row>
    <row r="67" spans="2:12" x14ac:dyDescent="0.25">
      <c r="B67" s="1">
        <v>42285</v>
      </c>
      <c r="L67">
        <v>66</v>
      </c>
    </row>
    <row r="68" spans="2:12" x14ac:dyDescent="0.25">
      <c r="B68" s="1">
        <v>42286</v>
      </c>
      <c r="L68">
        <v>67</v>
      </c>
    </row>
    <row r="69" spans="2:12" x14ac:dyDescent="0.25">
      <c r="B69" s="1">
        <v>42287</v>
      </c>
      <c r="L69">
        <v>68</v>
      </c>
    </row>
    <row r="70" spans="2:12" x14ac:dyDescent="0.25">
      <c r="B70" s="1">
        <v>42288</v>
      </c>
      <c r="L70">
        <v>69</v>
      </c>
    </row>
    <row r="71" spans="2:12" x14ac:dyDescent="0.25">
      <c r="B71" s="1">
        <v>42289</v>
      </c>
      <c r="L71">
        <v>70</v>
      </c>
    </row>
    <row r="72" spans="2:12" x14ac:dyDescent="0.25">
      <c r="B72" s="1">
        <v>42290</v>
      </c>
      <c r="L72">
        <v>71</v>
      </c>
    </row>
    <row r="73" spans="2:12" x14ac:dyDescent="0.25">
      <c r="B73" s="1">
        <v>42291</v>
      </c>
      <c r="L73">
        <v>72</v>
      </c>
    </row>
    <row r="74" spans="2:12" x14ac:dyDescent="0.25">
      <c r="B74" s="1">
        <v>42292</v>
      </c>
      <c r="L74">
        <v>73</v>
      </c>
    </row>
    <row r="75" spans="2:12" x14ac:dyDescent="0.25">
      <c r="B75" s="1">
        <v>42293</v>
      </c>
      <c r="L75">
        <v>74</v>
      </c>
    </row>
    <row r="76" spans="2:12" x14ac:dyDescent="0.25">
      <c r="B76" s="1">
        <v>42294</v>
      </c>
      <c r="L76">
        <v>75</v>
      </c>
    </row>
    <row r="77" spans="2:12" x14ac:dyDescent="0.25">
      <c r="B77" s="1">
        <v>42295</v>
      </c>
      <c r="L77">
        <v>76</v>
      </c>
    </row>
    <row r="78" spans="2:12" x14ac:dyDescent="0.25">
      <c r="B78" s="1">
        <v>42296</v>
      </c>
      <c r="L78">
        <v>77</v>
      </c>
    </row>
    <row r="79" spans="2:12" x14ac:dyDescent="0.25">
      <c r="B79" s="1">
        <v>42297</v>
      </c>
      <c r="L79">
        <v>78</v>
      </c>
    </row>
    <row r="80" spans="2:12" x14ac:dyDescent="0.25">
      <c r="B80" s="1">
        <v>42298</v>
      </c>
      <c r="L80">
        <v>79</v>
      </c>
    </row>
    <row r="81" spans="2:12" x14ac:dyDescent="0.25">
      <c r="B81" s="1">
        <v>42299</v>
      </c>
      <c r="L81">
        <v>80</v>
      </c>
    </row>
    <row r="82" spans="2:12" x14ac:dyDescent="0.25">
      <c r="B82" s="1">
        <v>42300</v>
      </c>
      <c r="L82">
        <v>81</v>
      </c>
    </row>
    <row r="83" spans="2:12" x14ac:dyDescent="0.25">
      <c r="B83" s="1">
        <v>42301</v>
      </c>
      <c r="L83">
        <v>82</v>
      </c>
    </row>
    <row r="84" spans="2:12" x14ac:dyDescent="0.25">
      <c r="B84" s="1">
        <v>42302</v>
      </c>
      <c r="L84">
        <v>83</v>
      </c>
    </row>
    <row r="85" spans="2:12" x14ac:dyDescent="0.25">
      <c r="B85" s="1">
        <v>42303</v>
      </c>
      <c r="L85">
        <v>84</v>
      </c>
    </row>
    <row r="86" spans="2:12" x14ac:dyDescent="0.25">
      <c r="B86" s="1">
        <v>42304</v>
      </c>
      <c r="L86">
        <v>85</v>
      </c>
    </row>
    <row r="87" spans="2:12" x14ac:dyDescent="0.25">
      <c r="B87" s="1">
        <v>42305</v>
      </c>
      <c r="L87">
        <v>86</v>
      </c>
    </row>
    <row r="88" spans="2:12" x14ac:dyDescent="0.25">
      <c r="B88" s="1">
        <v>42306</v>
      </c>
      <c r="L88">
        <v>87</v>
      </c>
    </row>
    <row r="89" spans="2:12" x14ac:dyDescent="0.25">
      <c r="B89" s="1">
        <v>42307</v>
      </c>
      <c r="L89">
        <v>88</v>
      </c>
    </row>
    <row r="90" spans="2:12" x14ac:dyDescent="0.25">
      <c r="B90" s="1">
        <v>42308</v>
      </c>
      <c r="L90">
        <v>89</v>
      </c>
    </row>
    <row r="91" spans="2:12" x14ac:dyDescent="0.25">
      <c r="B91" s="1">
        <v>42309</v>
      </c>
      <c r="L91">
        <v>90</v>
      </c>
    </row>
    <row r="92" spans="2:12" x14ac:dyDescent="0.25">
      <c r="B92" s="1">
        <v>42310</v>
      </c>
      <c r="L92">
        <v>91</v>
      </c>
    </row>
    <row r="93" spans="2:12" x14ac:dyDescent="0.25">
      <c r="B93" s="1">
        <v>42311</v>
      </c>
      <c r="L93">
        <v>92</v>
      </c>
    </row>
    <row r="94" spans="2:12" x14ac:dyDescent="0.25">
      <c r="B94" s="1">
        <v>42312</v>
      </c>
      <c r="L94">
        <v>93</v>
      </c>
    </row>
    <row r="95" spans="2:12" x14ac:dyDescent="0.25">
      <c r="B95" s="1">
        <v>42313</v>
      </c>
      <c r="L95">
        <v>94</v>
      </c>
    </row>
    <row r="96" spans="2:12" x14ac:dyDescent="0.25">
      <c r="B96" s="1">
        <v>42314</v>
      </c>
      <c r="L96">
        <v>95</v>
      </c>
    </row>
    <row r="97" spans="2:12" x14ac:dyDescent="0.25">
      <c r="B97" s="1">
        <v>42315</v>
      </c>
      <c r="L97">
        <v>96</v>
      </c>
    </row>
    <row r="98" spans="2:12" x14ac:dyDescent="0.25">
      <c r="B98" s="1">
        <v>42316</v>
      </c>
      <c r="L98">
        <v>97</v>
      </c>
    </row>
    <row r="99" spans="2:12" x14ac:dyDescent="0.25">
      <c r="B99" s="1">
        <v>42317</v>
      </c>
      <c r="L99">
        <v>98</v>
      </c>
    </row>
    <row r="100" spans="2:12" x14ac:dyDescent="0.25">
      <c r="B100" s="1">
        <v>42318</v>
      </c>
      <c r="L100">
        <v>99</v>
      </c>
    </row>
    <row r="101" spans="2:12" x14ac:dyDescent="0.25">
      <c r="B101" s="1">
        <v>42319</v>
      </c>
      <c r="L101">
        <v>100</v>
      </c>
    </row>
    <row r="102" spans="2:12" x14ac:dyDescent="0.25">
      <c r="B102" s="1">
        <v>42320</v>
      </c>
      <c r="L102">
        <v>101</v>
      </c>
    </row>
    <row r="103" spans="2:12" x14ac:dyDescent="0.25">
      <c r="B103" s="1">
        <v>42321</v>
      </c>
      <c r="L103">
        <v>102</v>
      </c>
    </row>
    <row r="104" spans="2:12" x14ac:dyDescent="0.25">
      <c r="B104" s="1">
        <v>42322</v>
      </c>
      <c r="L104">
        <v>103</v>
      </c>
    </row>
    <row r="105" spans="2:12" x14ac:dyDescent="0.25">
      <c r="B105" s="1">
        <v>42323</v>
      </c>
      <c r="L105">
        <v>104</v>
      </c>
    </row>
    <row r="106" spans="2:12" x14ac:dyDescent="0.25">
      <c r="B106" s="1">
        <v>42324</v>
      </c>
      <c r="L106">
        <v>105</v>
      </c>
    </row>
    <row r="107" spans="2:12" x14ac:dyDescent="0.25">
      <c r="B107" s="1">
        <v>42325</v>
      </c>
      <c r="L107">
        <v>106</v>
      </c>
    </row>
    <row r="108" spans="2:12" x14ac:dyDescent="0.25">
      <c r="B108" s="1">
        <v>42326</v>
      </c>
      <c r="L108">
        <v>107</v>
      </c>
    </row>
    <row r="109" spans="2:12" x14ac:dyDescent="0.25">
      <c r="B109" s="1">
        <v>42327</v>
      </c>
      <c r="L109">
        <v>108</v>
      </c>
    </row>
    <row r="110" spans="2:12" x14ac:dyDescent="0.25">
      <c r="B110" s="1">
        <v>42328</v>
      </c>
      <c r="L110">
        <v>109</v>
      </c>
    </row>
    <row r="111" spans="2:12" x14ac:dyDescent="0.25">
      <c r="B111" s="1">
        <v>42329</v>
      </c>
      <c r="L111">
        <v>110</v>
      </c>
    </row>
    <row r="112" spans="2:12" x14ac:dyDescent="0.25">
      <c r="B112" s="1">
        <v>42330</v>
      </c>
      <c r="L112">
        <v>111</v>
      </c>
    </row>
    <row r="113" spans="2:12" x14ac:dyDescent="0.25">
      <c r="B113" s="1">
        <v>42331</v>
      </c>
      <c r="L113">
        <v>112</v>
      </c>
    </row>
    <row r="114" spans="2:12" x14ac:dyDescent="0.25">
      <c r="B114" s="1">
        <v>42332</v>
      </c>
      <c r="L114">
        <v>113</v>
      </c>
    </row>
    <row r="115" spans="2:12" x14ac:dyDescent="0.25">
      <c r="B115" s="1">
        <v>42333</v>
      </c>
      <c r="L115">
        <v>114</v>
      </c>
    </row>
    <row r="116" spans="2:12" x14ac:dyDescent="0.25">
      <c r="B116" s="1">
        <v>42334</v>
      </c>
      <c r="L116">
        <v>115</v>
      </c>
    </row>
    <row r="117" spans="2:12" x14ac:dyDescent="0.25">
      <c r="B117" s="1">
        <v>42335</v>
      </c>
      <c r="L117">
        <v>116</v>
      </c>
    </row>
    <row r="118" spans="2:12" x14ac:dyDescent="0.25">
      <c r="B118" s="1">
        <v>42336</v>
      </c>
      <c r="L118">
        <v>117</v>
      </c>
    </row>
    <row r="119" spans="2:12" x14ac:dyDescent="0.25">
      <c r="B119" s="1">
        <v>42337</v>
      </c>
      <c r="L119">
        <v>118</v>
      </c>
    </row>
    <row r="120" spans="2:12" x14ac:dyDescent="0.25">
      <c r="B120" s="1">
        <v>42338</v>
      </c>
      <c r="L120">
        <v>119</v>
      </c>
    </row>
    <row r="121" spans="2:12" x14ac:dyDescent="0.25">
      <c r="B121" s="1">
        <v>42339</v>
      </c>
      <c r="L121">
        <v>120</v>
      </c>
    </row>
    <row r="122" spans="2:12" x14ac:dyDescent="0.25">
      <c r="B122" s="1">
        <v>42340</v>
      </c>
      <c r="L122">
        <v>121</v>
      </c>
    </row>
    <row r="123" spans="2:12" x14ac:dyDescent="0.25">
      <c r="B123" s="1">
        <v>42341</v>
      </c>
      <c r="L123">
        <v>122</v>
      </c>
    </row>
    <row r="124" spans="2:12" x14ac:dyDescent="0.25">
      <c r="B124" s="1">
        <v>42342</v>
      </c>
      <c r="L124">
        <v>123</v>
      </c>
    </row>
    <row r="125" spans="2:12" x14ac:dyDescent="0.25">
      <c r="B125" s="1">
        <v>42343</v>
      </c>
      <c r="L125">
        <v>124</v>
      </c>
    </row>
    <row r="126" spans="2:12" x14ac:dyDescent="0.25">
      <c r="B126" s="1">
        <v>42344</v>
      </c>
      <c r="L126">
        <v>125</v>
      </c>
    </row>
    <row r="127" spans="2:12" x14ac:dyDescent="0.25">
      <c r="B127" s="1">
        <v>42345</v>
      </c>
      <c r="L127">
        <v>126</v>
      </c>
    </row>
    <row r="128" spans="2:12" x14ac:dyDescent="0.25">
      <c r="B128" s="1">
        <v>42346</v>
      </c>
      <c r="L128">
        <v>127</v>
      </c>
    </row>
    <row r="129" spans="2:12" x14ac:dyDescent="0.25">
      <c r="B129" s="1">
        <v>42347</v>
      </c>
      <c r="L129">
        <v>128</v>
      </c>
    </row>
    <row r="130" spans="2:12" x14ac:dyDescent="0.25">
      <c r="B130" s="1">
        <v>42348</v>
      </c>
      <c r="L130">
        <v>129</v>
      </c>
    </row>
    <row r="131" spans="2:12" x14ac:dyDescent="0.25">
      <c r="B131" s="1">
        <v>42349</v>
      </c>
      <c r="L131">
        <v>130</v>
      </c>
    </row>
    <row r="132" spans="2:12" x14ac:dyDescent="0.25">
      <c r="B132" s="1">
        <v>42350</v>
      </c>
      <c r="L132">
        <v>131</v>
      </c>
    </row>
    <row r="133" spans="2:12" x14ac:dyDescent="0.25">
      <c r="B133" s="1">
        <v>42351</v>
      </c>
      <c r="L133">
        <v>132</v>
      </c>
    </row>
    <row r="134" spans="2:12" x14ac:dyDescent="0.25">
      <c r="B134" s="1">
        <v>42352</v>
      </c>
      <c r="L134">
        <v>133</v>
      </c>
    </row>
    <row r="135" spans="2:12" x14ac:dyDescent="0.25">
      <c r="B135" s="1">
        <v>42353</v>
      </c>
      <c r="L135">
        <v>134</v>
      </c>
    </row>
    <row r="136" spans="2:12" x14ac:dyDescent="0.25">
      <c r="B136" s="1">
        <v>42354</v>
      </c>
      <c r="L136">
        <v>135</v>
      </c>
    </row>
    <row r="137" spans="2:12" x14ac:dyDescent="0.25">
      <c r="B137" s="1">
        <v>42355</v>
      </c>
      <c r="L137">
        <v>136</v>
      </c>
    </row>
    <row r="138" spans="2:12" x14ac:dyDescent="0.25">
      <c r="B138" s="1">
        <v>42356</v>
      </c>
      <c r="L138">
        <v>137</v>
      </c>
    </row>
    <row r="139" spans="2:12" x14ac:dyDescent="0.25">
      <c r="B139" s="1">
        <v>42357</v>
      </c>
      <c r="L139">
        <v>138</v>
      </c>
    </row>
    <row r="140" spans="2:12" x14ac:dyDescent="0.25">
      <c r="B140" s="1">
        <v>42358</v>
      </c>
      <c r="L140">
        <v>139</v>
      </c>
    </row>
    <row r="141" spans="2:12" x14ac:dyDescent="0.25">
      <c r="B141" s="1">
        <v>42359</v>
      </c>
      <c r="L141">
        <v>140</v>
      </c>
    </row>
    <row r="142" spans="2:12" x14ac:dyDescent="0.25">
      <c r="B142" s="1">
        <v>42360</v>
      </c>
      <c r="L142">
        <v>141</v>
      </c>
    </row>
    <row r="143" spans="2:12" x14ac:dyDescent="0.25">
      <c r="B143" s="1">
        <v>42361</v>
      </c>
      <c r="L143">
        <v>142</v>
      </c>
    </row>
    <row r="144" spans="2:12" x14ac:dyDescent="0.25">
      <c r="B144" s="1">
        <v>42362</v>
      </c>
      <c r="L144">
        <v>143</v>
      </c>
    </row>
    <row r="145" spans="2:12" x14ac:dyDescent="0.25">
      <c r="B145" s="1">
        <v>42363</v>
      </c>
      <c r="L145">
        <v>144</v>
      </c>
    </row>
    <row r="146" spans="2:12" x14ac:dyDescent="0.25">
      <c r="B146" s="1">
        <v>42364</v>
      </c>
      <c r="L146">
        <v>145</v>
      </c>
    </row>
    <row r="147" spans="2:12" x14ac:dyDescent="0.25">
      <c r="B147" s="1">
        <v>42365</v>
      </c>
      <c r="L147">
        <v>146</v>
      </c>
    </row>
    <row r="148" spans="2:12" x14ac:dyDescent="0.25">
      <c r="B148" s="1">
        <v>42366</v>
      </c>
      <c r="L148">
        <v>147</v>
      </c>
    </row>
    <row r="149" spans="2:12" x14ac:dyDescent="0.25">
      <c r="B149" s="1">
        <v>42367</v>
      </c>
      <c r="L149">
        <v>148</v>
      </c>
    </row>
    <row r="150" spans="2:12" x14ac:dyDescent="0.25">
      <c r="B150" s="1">
        <v>42368</v>
      </c>
      <c r="L150">
        <v>149</v>
      </c>
    </row>
    <row r="151" spans="2:12" x14ac:dyDescent="0.25">
      <c r="B151" s="1">
        <v>42369</v>
      </c>
      <c r="L151">
        <v>150</v>
      </c>
    </row>
    <row r="152" spans="2:12" x14ac:dyDescent="0.25">
      <c r="B152" s="1">
        <v>42370</v>
      </c>
      <c r="L152">
        <v>151</v>
      </c>
    </row>
    <row r="153" spans="2:12" x14ac:dyDescent="0.25">
      <c r="B153" s="1">
        <v>42371</v>
      </c>
      <c r="L153">
        <v>152</v>
      </c>
    </row>
    <row r="154" spans="2:12" x14ac:dyDescent="0.25">
      <c r="B154" s="1">
        <v>42372</v>
      </c>
      <c r="L154">
        <v>153</v>
      </c>
    </row>
    <row r="155" spans="2:12" x14ac:dyDescent="0.25">
      <c r="B155" s="1">
        <v>42373</v>
      </c>
      <c r="L155">
        <v>154</v>
      </c>
    </row>
    <row r="156" spans="2:12" x14ac:dyDescent="0.25">
      <c r="B156" s="1">
        <v>42374</v>
      </c>
      <c r="L156">
        <v>155</v>
      </c>
    </row>
    <row r="157" spans="2:12" x14ac:dyDescent="0.25">
      <c r="B157" s="1">
        <v>42375</v>
      </c>
      <c r="L157">
        <v>156</v>
      </c>
    </row>
    <row r="158" spans="2:12" x14ac:dyDescent="0.25">
      <c r="B158" s="1">
        <v>42376</v>
      </c>
      <c r="L158">
        <v>157</v>
      </c>
    </row>
    <row r="159" spans="2:12" x14ac:dyDescent="0.25">
      <c r="B159" s="1">
        <v>42377</v>
      </c>
      <c r="L159">
        <v>158</v>
      </c>
    </row>
    <row r="160" spans="2:12" x14ac:dyDescent="0.25">
      <c r="B160" s="1">
        <v>42378</v>
      </c>
      <c r="L160">
        <v>159</v>
      </c>
    </row>
    <row r="161" spans="2:12" x14ac:dyDescent="0.25">
      <c r="B161" s="1">
        <v>42379</v>
      </c>
      <c r="L161">
        <v>160</v>
      </c>
    </row>
    <row r="162" spans="2:12" x14ac:dyDescent="0.25">
      <c r="B162" s="1">
        <v>42380</v>
      </c>
      <c r="L162">
        <v>161</v>
      </c>
    </row>
    <row r="163" spans="2:12" x14ac:dyDescent="0.25">
      <c r="B163" s="1">
        <v>42381</v>
      </c>
      <c r="L163">
        <v>162</v>
      </c>
    </row>
    <row r="164" spans="2:12" x14ac:dyDescent="0.25">
      <c r="B164" s="1">
        <v>42382</v>
      </c>
      <c r="L164">
        <v>163</v>
      </c>
    </row>
    <row r="165" spans="2:12" x14ac:dyDescent="0.25">
      <c r="B165" s="1">
        <v>42383</v>
      </c>
      <c r="L165">
        <v>164</v>
      </c>
    </row>
    <row r="166" spans="2:12" x14ac:dyDescent="0.25">
      <c r="B166" s="1">
        <v>42384</v>
      </c>
      <c r="L166">
        <v>165</v>
      </c>
    </row>
    <row r="167" spans="2:12" x14ac:dyDescent="0.25">
      <c r="B167" s="1">
        <v>42385</v>
      </c>
      <c r="L167">
        <v>166</v>
      </c>
    </row>
    <row r="168" spans="2:12" x14ac:dyDescent="0.25">
      <c r="B168" s="1">
        <v>42386</v>
      </c>
      <c r="L168">
        <v>167</v>
      </c>
    </row>
    <row r="169" spans="2:12" x14ac:dyDescent="0.25">
      <c r="B169" s="1">
        <v>42387</v>
      </c>
      <c r="L169">
        <v>168</v>
      </c>
    </row>
    <row r="170" spans="2:12" x14ac:dyDescent="0.25">
      <c r="B170" s="1">
        <v>42388</v>
      </c>
      <c r="L170">
        <v>169</v>
      </c>
    </row>
    <row r="171" spans="2:12" x14ac:dyDescent="0.25">
      <c r="B171" s="1">
        <v>42389</v>
      </c>
      <c r="L171">
        <v>170</v>
      </c>
    </row>
    <row r="172" spans="2:12" x14ac:dyDescent="0.25">
      <c r="B172" s="1">
        <v>42390</v>
      </c>
      <c r="L172">
        <v>171</v>
      </c>
    </row>
    <row r="173" spans="2:12" x14ac:dyDescent="0.25">
      <c r="B173" s="1">
        <v>42391</v>
      </c>
      <c r="L173">
        <v>172</v>
      </c>
    </row>
    <row r="174" spans="2:12" x14ac:dyDescent="0.25">
      <c r="B174" s="1">
        <v>42392</v>
      </c>
      <c r="L174">
        <v>173</v>
      </c>
    </row>
    <row r="175" spans="2:12" x14ac:dyDescent="0.25">
      <c r="B175" s="1">
        <v>42393</v>
      </c>
      <c r="L175">
        <v>174</v>
      </c>
    </row>
    <row r="176" spans="2:12" x14ac:dyDescent="0.25">
      <c r="B176" s="1">
        <v>42394</v>
      </c>
      <c r="L176">
        <v>175</v>
      </c>
    </row>
    <row r="177" spans="2:12" x14ac:dyDescent="0.25">
      <c r="B177" s="1">
        <v>42395</v>
      </c>
      <c r="L177">
        <v>176</v>
      </c>
    </row>
    <row r="178" spans="2:12" x14ac:dyDescent="0.25">
      <c r="B178" s="1">
        <v>42396</v>
      </c>
      <c r="L178">
        <v>177</v>
      </c>
    </row>
    <row r="179" spans="2:12" x14ac:dyDescent="0.25">
      <c r="B179" s="1">
        <v>42397</v>
      </c>
      <c r="L179">
        <v>178</v>
      </c>
    </row>
    <row r="180" spans="2:12" x14ac:dyDescent="0.25">
      <c r="B180" s="1">
        <v>42398</v>
      </c>
      <c r="L180">
        <v>179</v>
      </c>
    </row>
    <row r="181" spans="2:12" x14ac:dyDescent="0.25">
      <c r="B181" s="1">
        <v>42399</v>
      </c>
      <c r="L181">
        <v>180</v>
      </c>
    </row>
    <row r="182" spans="2:12" x14ac:dyDescent="0.25">
      <c r="B182" s="1">
        <v>42400</v>
      </c>
      <c r="L182">
        <v>181</v>
      </c>
    </row>
    <row r="183" spans="2:12" x14ac:dyDescent="0.25">
      <c r="B183" s="1">
        <v>42401</v>
      </c>
      <c r="L183">
        <v>182</v>
      </c>
    </row>
    <row r="184" spans="2:12" x14ac:dyDescent="0.25">
      <c r="B184" s="1">
        <v>42402</v>
      </c>
      <c r="L184">
        <v>183</v>
      </c>
    </row>
    <row r="185" spans="2:12" x14ac:dyDescent="0.25">
      <c r="B185" s="1">
        <v>42403</v>
      </c>
      <c r="L185">
        <v>184</v>
      </c>
    </row>
    <row r="186" spans="2:12" x14ac:dyDescent="0.25">
      <c r="B186" s="1">
        <v>42404</v>
      </c>
      <c r="L186">
        <v>185</v>
      </c>
    </row>
    <row r="187" spans="2:12" x14ac:dyDescent="0.25">
      <c r="B187" s="1">
        <v>42405</v>
      </c>
      <c r="L187">
        <v>186</v>
      </c>
    </row>
    <row r="188" spans="2:12" x14ac:dyDescent="0.25">
      <c r="B188" s="1">
        <v>42406</v>
      </c>
      <c r="L188">
        <v>187</v>
      </c>
    </row>
    <row r="189" spans="2:12" x14ac:dyDescent="0.25">
      <c r="B189" s="1">
        <v>42407</v>
      </c>
      <c r="L189">
        <v>188</v>
      </c>
    </row>
    <row r="190" spans="2:12" x14ac:dyDescent="0.25">
      <c r="B190" s="1">
        <v>42408</v>
      </c>
      <c r="L190">
        <v>189</v>
      </c>
    </row>
    <row r="191" spans="2:12" x14ac:dyDescent="0.25">
      <c r="B191" s="1">
        <v>42409</v>
      </c>
      <c r="L191">
        <v>190</v>
      </c>
    </row>
    <row r="192" spans="2:12" x14ac:dyDescent="0.25">
      <c r="B192" s="1">
        <v>42410</v>
      </c>
      <c r="L192">
        <v>191</v>
      </c>
    </row>
    <row r="193" spans="2:12" x14ac:dyDescent="0.25">
      <c r="B193" s="1">
        <v>42411</v>
      </c>
      <c r="L193">
        <v>192</v>
      </c>
    </row>
    <row r="194" spans="2:12" x14ac:dyDescent="0.25">
      <c r="B194" s="1">
        <v>42412</v>
      </c>
      <c r="L194">
        <v>193</v>
      </c>
    </row>
    <row r="195" spans="2:12" x14ac:dyDescent="0.25">
      <c r="B195" s="1">
        <v>42413</v>
      </c>
      <c r="L195">
        <v>194</v>
      </c>
    </row>
    <row r="196" spans="2:12" x14ac:dyDescent="0.25">
      <c r="B196" s="1">
        <v>42414</v>
      </c>
      <c r="L196">
        <v>195</v>
      </c>
    </row>
    <row r="197" spans="2:12" x14ac:dyDescent="0.25">
      <c r="B197" s="1">
        <v>42415</v>
      </c>
      <c r="L197">
        <v>196</v>
      </c>
    </row>
    <row r="198" spans="2:12" x14ac:dyDescent="0.25">
      <c r="B198" s="1">
        <v>42416</v>
      </c>
      <c r="L198">
        <v>197</v>
      </c>
    </row>
    <row r="199" spans="2:12" x14ac:dyDescent="0.25">
      <c r="B199" s="1">
        <v>42417</v>
      </c>
      <c r="L199">
        <v>198</v>
      </c>
    </row>
    <row r="200" spans="2:12" x14ac:dyDescent="0.25">
      <c r="B200" s="1">
        <v>42418</v>
      </c>
      <c r="L200">
        <v>199</v>
      </c>
    </row>
    <row r="201" spans="2:12" x14ac:dyDescent="0.25">
      <c r="B201" s="1">
        <v>42419</v>
      </c>
      <c r="L201">
        <v>200</v>
      </c>
    </row>
    <row r="202" spans="2:12" x14ac:dyDescent="0.25">
      <c r="B202" s="1">
        <v>42420</v>
      </c>
      <c r="L202">
        <v>201</v>
      </c>
    </row>
    <row r="203" spans="2:12" x14ac:dyDescent="0.25">
      <c r="B203" s="1">
        <v>42421</v>
      </c>
      <c r="L203">
        <v>202</v>
      </c>
    </row>
    <row r="204" spans="2:12" x14ac:dyDescent="0.25">
      <c r="B204" s="1">
        <v>42422</v>
      </c>
      <c r="L204">
        <v>203</v>
      </c>
    </row>
    <row r="205" spans="2:12" x14ac:dyDescent="0.25">
      <c r="B205" s="1">
        <v>42423</v>
      </c>
      <c r="L205">
        <v>204</v>
      </c>
    </row>
    <row r="206" spans="2:12" x14ac:dyDescent="0.25">
      <c r="B206" s="1">
        <v>42424</v>
      </c>
      <c r="L206">
        <v>205</v>
      </c>
    </row>
    <row r="207" spans="2:12" x14ac:dyDescent="0.25">
      <c r="B207" s="1">
        <v>42425</v>
      </c>
      <c r="L207">
        <v>206</v>
      </c>
    </row>
    <row r="208" spans="2:12" x14ac:dyDescent="0.25">
      <c r="B208" s="1">
        <v>42426</v>
      </c>
      <c r="L208">
        <v>207</v>
      </c>
    </row>
    <row r="209" spans="2:12" x14ac:dyDescent="0.25">
      <c r="B209" s="1">
        <v>42427</v>
      </c>
      <c r="L209">
        <v>208</v>
      </c>
    </row>
    <row r="210" spans="2:12" x14ac:dyDescent="0.25">
      <c r="B210" s="1">
        <v>42428</v>
      </c>
      <c r="L210">
        <v>209</v>
      </c>
    </row>
    <row r="211" spans="2:12" x14ac:dyDescent="0.25">
      <c r="B211" s="1">
        <v>42429</v>
      </c>
      <c r="L211">
        <v>210</v>
      </c>
    </row>
    <row r="212" spans="2:12" x14ac:dyDescent="0.25">
      <c r="B212" s="1">
        <v>42430</v>
      </c>
      <c r="L212">
        <v>211</v>
      </c>
    </row>
    <row r="213" spans="2:12" x14ac:dyDescent="0.25">
      <c r="B213" s="1">
        <v>42431</v>
      </c>
      <c r="L213">
        <v>212</v>
      </c>
    </row>
    <row r="214" spans="2:12" x14ac:dyDescent="0.25">
      <c r="B214" s="1">
        <v>42432</v>
      </c>
      <c r="L214">
        <v>213</v>
      </c>
    </row>
    <row r="215" spans="2:12" x14ac:dyDescent="0.25">
      <c r="B215" s="1">
        <v>42433</v>
      </c>
      <c r="L215">
        <v>214</v>
      </c>
    </row>
    <row r="216" spans="2:12" x14ac:dyDescent="0.25">
      <c r="B216" s="1">
        <v>42434</v>
      </c>
      <c r="L216">
        <v>215</v>
      </c>
    </row>
    <row r="217" spans="2:12" x14ac:dyDescent="0.25">
      <c r="B217" s="1">
        <v>42435</v>
      </c>
      <c r="L217">
        <v>216</v>
      </c>
    </row>
    <row r="218" spans="2:12" x14ac:dyDescent="0.25">
      <c r="B218" s="1">
        <v>42436</v>
      </c>
      <c r="L218">
        <v>217</v>
      </c>
    </row>
    <row r="219" spans="2:12" x14ac:dyDescent="0.25">
      <c r="B219" s="1">
        <v>42437</v>
      </c>
      <c r="L219">
        <v>218</v>
      </c>
    </row>
    <row r="220" spans="2:12" x14ac:dyDescent="0.25">
      <c r="B220" s="1">
        <v>42438</v>
      </c>
      <c r="L220">
        <v>219</v>
      </c>
    </row>
    <row r="221" spans="2:12" x14ac:dyDescent="0.25">
      <c r="B221" s="1">
        <v>42439</v>
      </c>
      <c r="L221">
        <v>220</v>
      </c>
    </row>
    <row r="222" spans="2:12" x14ac:dyDescent="0.25">
      <c r="B222" s="1">
        <v>42440</v>
      </c>
      <c r="L222">
        <v>221</v>
      </c>
    </row>
    <row r="223" spans="2:12" x14ac:dyDescent="0.25">
      <c r="B223" s="1">
        <v>42441</v>
      </c>
      <c r="L223">
        <v>222</v>
      </c>
    </row>
    <row r="224" spans="2:12" x14ac:dyDescent="0.25">
      <c r="B224" s="1">
        <v>42442</v>
      </c>
      <c r="L224">
        <v>223</v>
      </c>
    </row>
    <row r="225" spans="2:12" x14ac:dyDescent="0.25">
      <c r="B225" s="1">
        <v>42443</v>
      </c>
      <c r="L225">
        <v>224</v>
      </c>
    </row>
    <row r="226" spans="2:12" x14ac:dyDescent="0.25">
      <c r="B226" s="1">
        <v>42444</v>
      </c>
      <c r="L226">
        <v>225</v>
      </c>
    </row>
    <row r="227" spans="2:12" x14ac:dyDescent="0.25">
      <c r="B227" s="1">
        <v>42445</v>
      </c>
      <c r="L227">
        <v>226</v>
      </c>
    </row>
    <row r="228" spans="2:12" x14ac:dyDescent="0.25">
      <c r="B228" s="1">
        <v>42446</v>
      </c>
      <c r="L228">
        <v>227</v>
      </c>
    </row>
    <row r="229" spans="2:12" x14ac:dyDescent="0.25">
      <c r="B229" s="1">
        <v>42447</v>
      </c>
      <c r="L229">
        <v>228</v>
      </c>
    </row>
    <row r="230" spans="2:12" x14ac:dyDescent="0.25">
      <c r="B230" s="1">
        <v>42448</v>
      </c>
      <c r="L230">
        <v>229</v>
      </c>
    </row>
    <row r="231" spans="2:12" x14ac:dyDescent="0.25">
      <c r="B231" s="1">
        <v>42449</v>
      </c>
      <c r="L231">
        <v>230</v>
      </c>
    </row>
    <row r="232" spans="2:12" x14ac:dyDescent="0.25">
      <c r="B232" s="1">
        <v>42450</v>
      </c>
      <c r="L232">
        <v>231</v>
      </c>
    </row>
    <row r="233" spans="2:12" x14ac:dyDescent="0.25">
      <c r="B233" s="1">
        <v>42451</v>
      </c>
      <c r="L233">
        <v>232</v>
      </c>
    </row>
    <row r="234" spans="2:12" x14ac:dyDescent="0.25">
      <c r="B234" s="1">
        <v>42452</v>
      </c>
      <c r="L234">
        <v>233</v>
      </c>
    </row>
    <row r="235" spans="2:12" x14ac:dyDescent="0.25">
      <c r="B235" s="1">
        <v>42453</v>
      </c>
      <c r="L235">
        <v>234</v>
      </c>
    </row>
    <row r="236" spans="2:12" x14ac:dyDescent="0.25">
      <c r="B236" s="1">
        <v>42454</v>
      </c>
      <c r="L236">
        <v>235</v>
      </c>
    </row>
    <row r="237" spans="2:12" x14ac:dyDescent="0.25">
      <c r="B237" s="1">
        <v>42455</v>
      </c>
      <c r="L237">
        <v>236</v>
      </c>
    </row>
    <row r="238" spans="2:12" x14ac:dyDescent="0.25">
      <c r="B238" s="1">
        <v>42456</v>
      </c>
      <c r="L238">
        <v>237</v>
      </c>
    </row>
    <row r="239" spans="2:12" x14ac:dyDescent="0.25">
      <c r="B239" s="1">
        <v>42457</v>
      </c>
      <c r="L239">
        <v>238</v>
      </c>
    </row>
    <row r="240" spans="2:12" x14ac:dyDescent="0.25">
      <c r="B240" s="1">
        <v>42458</v>
      </c>
      <c r="L240">
        <v>239</v>
      </c>
    </row>
    <row r="241" spans="2:12" x14ac:dyDescent="0.25">
      <c r="B241" s="1">
        <v>42459</v>
      </c>
      <c r="L241">
        <v>240</v>
      </c>
    </row>
    <row r="242" spans="2:12" x14ac:dyDescent="0.25">
      <c r="B242" s="1">
        <v>42460</v>
      </c>
      <c r="L242">
        <v>241</v>
      </c>
    </row>
    <row r="243" spans="2:12" x14ac:dyDescent="0.25">
      <c r="B243" s="1">
        <v>42461</v>
      </c>
      <c r="L243">
        <v>242</v>
      </c>
    </row>
    <row r="244" spans="2:12" x14ac:dyDescent="0.25">
      <c r="B244" s="1">
        <v>42462</v>
      </c>
      <c r="L244">
        <v>243</v>
      </c>
    </row>
    <row r="245" spans="2:12" x14ac:dyDescent="0.25">
      <c r="B245" s="1">
        <v>42463</v>
      </c>
      <c r="L245">
        <v>244</v>
      </c>
    </row>
    <row r="246" spans="2:12" x14ac:dyDescent="0.25">
      <c r="B246" s="1">
        <v>42464</v>
      </c>
      <c r="L246">
        <v>245</v>
      </c>
    </row>
    <row r="247" spans="2:12" x14ac:dyDescent="0.25">
      <c r="B247" s="1">
        <v>42465</v>
      </c>
      <c r="L247">
        <v>246</v>
      </c>
    </row>
    <row r="248" spans="2:12" x14ac:dyDescent="0.25">
      <c r="B248" s="1">
        <v>42466</v>
      </c>
      <c r="L248">
        <v>247</v>
      </c>
    </row>
    <row r="249" spans="2:12" x14ac:dyDescent="0.25">
      <c r="B249" s="1">
        <v>42467</v>
      </c>
      <c r="L249">
        <v>248</v>
      </c>
    </row>
    <row r="250" spans="2:12" x14ac:dyDescent="0.25">
      <c r="B250" s="1">
        <v>42468</v>
      </c>
      <c r="L250">
        <v>249</v>
      </c>
    </row>
    <row r="251" spans="2:12" x14ac:dyDescent="0.25">
      <c r="B251" s="1">
        <v>42469</v>
      </c>
      <c r="L251">
        <v>250</v>
      </c>
    </row>
    <row r="252" spans="2:12" x14ac:dyDescent="0.25">
      <c r="B252" s="1">
        <v>42470</v>
      </c>
      <c r="L252">
        <v>251</v>
      </c>
    </row>
    <row r="253" spans="2:12" x14ac:dyDescent="0.25">
      <c r="B253" s="1">
        <v>42471</v>
      </c>
      <c r="L253">
        <v>252</v>
      </c>
    </row>
    <row r="254" spans="2:12" x14ac:dyDescent="0.25">
      <c r="B254" s="1">
        <v>42472</v>
      </c>
      <c r="L254">
        <v>253</v>
      </c>
    </row>
    <row r="255" spans="2:12" x14ac:dyDescent="0.25">
      <c r="B255" s="1">
        <v>42473</v>
      </c>
      <c r="L255">
        <v>254</v>
      </c>
    </row>
    <row r="256" spans="2:12" x14ac:dyDescent="0.25">
      <c r="B256" s="1">
        <v>42474</v>
      </c>
      <c r="L256">
        <v>255</v>
      </c>
    </row>
    <row r="257" spans="2:12" x14ac:dyDescent="0.25">
      <c r="B257" s="1">
        <v>42475</v>
      </c>
      <c r="L257">
        <v>256</v>
      </c>
    </row>
    <row r="258" spans="2:12" x14ac:dyDescent="0.25">
      <c r="B258" s="1">
        <v>42476</v>
      </c>
      <c r="L258">
        <v>257</v>
      </c>
    </row>
    <row r="259" spans="2:12" x14ac:dyDescent="0.25">
      <c r="B259" s="1">
        <v>42477</v>
      </c>
      <c r="L259">
        <v>258</v>
      </c>
    </row>
    <row r="260" spans="2:12" x14ac:dyDescent="0.25">
      <c r="B260" s="1">
        <v>42478</v>
      </c>
      <c r="L260">
        <v>259</v>
      </c>
    </row>
    <row r="261" spans="2:12" x14ac:dyDescent="0.25">
      <c r="B261" s="1">
        <v>42479</v>
      </c>
      <c r="L261">
        <v>260</v>
      </c>
    </row>
    <row r="262" spans="2:12" x14ac:dyDescent="0.25">
      <c r="B262" s="1">
        <v>42480</v>
      </c>
      <c r="L262">
        <v>261</v>
      </c>
    </row>
    <row r="263" spans="2:12" x14ac:dyDescent="0.25">
      <c r="B263" s="1">
        <v>42481</v>
      </c>
      <c r="L263">
        <v>262</v>
      </c>
    </row>
    <row r="264" spans="2:12" x14ac:dyDescent="0.25">
      <c r="B264" s="1">
        <v>42482</v>
      </c>
      <c r="L264">
        <v>263</v>
      </c>
    </row>
    <row r="265" spans="2:12" x14ac:dyDescent="0.25">
      <c r="B265" s="1">
        <v>42483</v>
      </c>
      <c r="L265">
        <v>264</v>
      </c>
    </row>
    <row r="266" spans="2:12" x14ac:dyDescent="0.25">
      <c r="B266" s="1">
        <v>42484</v>
      </c>
      <c r="L266">
        <v>265</v>
      </c>
    </row>
    <row r="267" spans="2:12" x14ac:dyDescent="0.25">
      <c r="B267" s="1">
        <v>42485</v>
      </c>
      <c r="L267">
        <v>266</v>
      </c>
    </row>
    <row r="268" spans="2:12" x14ac:dyDescent="0.25">
      <c r="B268" s="1">
        <v>42486</v>
      </c>
      <c r="L268">
        <v>267</v>
      </c>
    </row>
    <row r="269" spans="2:12" x14ac:dyDescent="0.25">
      <c r="B269" s="1">
        <v>42487</v>
      </c>
      <c r="L269">
        <v>268</v>
      </c>
    </row>
    <row r="270" spans="2:12" x14ac:dyDescent="0.25">
      <c r="B270" s="1">
        <v>42488</v>
      </c>
      <c r="L270">
        <v>269</v>
      </c>
    </row>
    <row r="271" spans="2:12" x14ac:dyDescent="0.25">
      <c r="B271" s="1">
        <v>42489</v>
      </c>
      <c r="L271">
        <v>270</v>
      </c>
    </row>
    <row r="272" spans="2:12" x14ac:dyDescent="0.25">
      <c r="B272" s="1">
        <v>42490</v>
      </c>
      <c r="L272">
        <v>271</v>
      </c>
    </row>
    <row r="273" spans="2:12" x14ac:dyDescent="0.25">
      <c r="B273" s="1">
        <v>42491</v>
      </c>
      <c r="L273">
        <v>272</v>
      </c>
    </row>
    <row r="274" spans="2:12" x14ac:dyDescent="0.25">
      <c r="B274" s="1">
        <v>42492</v>
      </c>
      <c r="L274">
        <v>273</v>
      </c>
    </row>
    <row r="275" spans="2:12" x14ac:dyDescent="0.25">
      <c r="B275" s="1">
        <v>42493</v>
      </c>
      <c r="L275">
        <v>274</v>
      </c>
    </row>
    <row r="276" spans="2:12" x14ac:dyDescent="0.25">
      <c r="B276" s="1">
        <v>42494</v>
      </c>
      <c r="L276">
        <v>275</v>
      </c>
    </row>
    <row r="277" spans="2:12" x14ac:dyDescent="0.25">
      <c r="B277" s="1">
        <v>42495</v>
      </c>
      <c r="L277">
        <v>276</v>
      </c>
    </row>
    <row r="278" spans="2:12" x14ac:dyDescent="0.25">
      <c r="B278" s="1">
        <v>42496</v>
      </c>
      <c r="L278">
        <v>277</v>
      </c>
    </row>
    <row r="279" spans="2:12" x14ac:dyDescent="0.25">
      <c r="B279" s="1">
        <v>42497</v>
      </c>
      <c r="L279">
        <v>278</v>
      </c>
    </row>
    <row r="280" spans="2:12" x14ac:dyDescent="0.25">
      <c r="B280" s="1">
        <v>42498</v>
      </c>
      <c r="L280">
        <v>279</v>
      </c>
    </row>
    <row r="281" spans="2:12" x14ac:dyDescent="0.25">
      <c r="B281" s="1">
        <v>42499</v>
      </c>
      <c r="L281">
        <v>280</v>
      </c>
    </row>
    <row r="282" spans="2:12" x14ac:dyDescent="0.25">
      <c r="B282" s="1">
        <v>42500</v>
      </c>
      <c r="L282">
        <v>281</v>
      </c>
    </row>
    <row r="283" spans="2:12" x14ac:dyDescent="0.25">
      <c r="B283" s="1">
        <v>42501</v>
      </c>
      <c r="L283">
        <v>282</v>
      </c>
    </row>
    <row r="284" spans="2:12" x14ac:dyDescent="0.25">
      <c r="B284" s="1">
        <v>42502</v>
      </c>
      <c r="L284">
        <v>283</v>
      </c>
    </row>
    <row r="285" spans="2:12" x14ac:dyDescent="0.25">
      <c r="B285" s="1">
        <v>42503</v>
      </c>
      <c r="L285">
        <v>284</v>
      </c>
    </row>
    <row r="286" spans="2:12" x14ac:dyDescent="0.25">
      <c r="B286" s="1">
        <v>42504</v>
      </c>
      <c r="L286">
        <v>285</v>
      </c>
    </row>
    <row r="287" spans="2:12" x14ac:dyDescent="0.25">
      <c r="B287" s="1">
        <v>42505</v>
      </c>
      <c r="L287">
        <v>286</v>
      </c>
    </row>
    <row r="288" spans="2:12" x14ac:dyDescent="0.25">
      <c r="B288" s="1">
        <v>42506</v>
      </c>
      <c r="L288">
        <v>287</v>
      </c>
    </row>
    <row r="289" spans="2:12" x14ac:dyDescent="0.25">
      <c r="B289" s="1">
        <v>42507</v>
      </c>
      <c r="L289">
        <v>288</v>
      </c>
    </row>
    <row r="290" spans="2:12" x14ac:dyDescent="0.25">
      <c r="B290" s="1">
        <v>42508</v>
      </c>
      <c r="L290">
        <v>289</v>
      </c>
    </row>
    <row r="291" spans="2:12" x14ac:dyDescent="0.25">
      <c r="B291" s="1">
        <v>42509</v>
      </c>
      <c r="L291">
        <v>290</v>
      </c>
    </row>
    <row r="292" spans="2:12" x14ac:dyDescent="0.25">
      <c r="B292" s="1">
        <v>42510</v>
      </c>
      <c r="L292">
        <v>291</v>
      </c>
    </row>
    <row r="293" spans="2:12" x14ac:dyDescent="0.25">
      <c r="B293" s="1">
        <v>42511</v>
      </c>
      <c r="L293">
        <v>292</v>
      </c>
    </row>
    <row r="294" spans="2:12" x14ac:dyDescent="0.25">
      <c r="B294" s="1">
        <v>42512</v>
      </c>
      <c r="L294">
        <v>293</v>
      </c>
    </row>
    <row r="295" spans="2:12" x14ac:dyDescent="0.25">
      <c r="B295" s="1">
        <v>42513</v>
      </c>
      <c r="L295">
        <v>294</v>
      </c>
    </row>
    <row r="296" spans="2:12" x14ac:dyDescent="0.25">
      <c r="B296" s="1">
        <v>42514</v>
      </c>
      <c r="L296">
        <v>295</v>
      </c>
    </row>
    <row r="297" spans="2:12" x14ac:dyDescent="0.25">
      <c r="B297" s="1">
        <v>42515</v>
      </c>
      <c r="L297">
        <v>296</v>
      </c>
    </row>
    <row r="298" spans="2:12" x14ac:dyDescent="0.25">
      <c r="B298" s="1">
        <v>42516</v>
      </c>
      <c r="L298">
        <v>297</v>
      </c>
    </row>
    <row r="299" spans="2:12" x14ac:dyDescent="0.25">
      <c r="B299" s="1">
        <v>42517</v>
      </c>
      <c r="L299">
        <v>298</v>
      </c>
    </row>
    <row r="300" spans="2:12" x14ac:dyDescent="0.25">
      <c r="B300" s="1">
        <v>42518</v>
      </c>
      <c r="L300">
        <v>299</v>
      </c>
    </row>
    <row r="301" spans="2:12" x14ac:dyDescent="0.25">
      <c r="B301" s="1">
        <v>42519</v>
      </c>
      <c r="L301">
        <v>300</v>
      </c>
    </row>
    <row r="302" spans="2:12" x14ac:dyDescent="0.25">
      <c r="B302" s="1">
        <v>42520</v>
      </c>
      <c r="L302">
        <v>301</v>
      </c>
    </row>
    <row r="303" spans="2:12" x14ac:dyDescent="0.25">
      <c r="B303" s="1">
        <v>42521</v>
      </c>
      <c r="L303">
        <v>302</v>
      </c>
    </row>
    <row r="304" spans="2:12" x14ac:dyDescent="0.25">
      <c r="B304" s="1">
        <v>42522</v>
      </c>
      <c r="L304">
        <v>303</v>
      </c>
    </row>
    <row r="305" spans="2:12" x14ac:dyDescent="0.25">
      <c r="B305" s="1">
        <v>42523</v>
      </c>
      <c r="L305">
        <v>304</v>
      </c>
    </row>
    <row r="306" spans="2:12" x14ac:dyDescent="0.25">
      <c r="B306" s="1">
        <v>42524</v>
      </c>
      <c r="L306">
        <v>305</v>
      </c>
    </row>
    <row r="307" spans="2:12" x14ac:dyDescent="0.25">
      <c r="B307" s="1">
        <v>42525</v>
      </c>
      <c r="L307">
        <v>306</v>
      </c>
    </row>
    <row r="308" spans="2:12" x14ac:dyDescent="0.25">
      <c r="B308" s="1">
        <v>42526</v>
      </c>
      <c r="L308">
        <v>307</v>
      </c>
    </row>
    <row r="309" spans="2:12" x14ac:dyDescent="0.25">
      <c r="B309" s="1">
        <v>42527</v>
      </c>
      <c r="L309">
        <v>308</v>
      </c>
    </row>
    <row r="310" spans="2:12" x14ac:dyDescent="0.25">
      <c r="B310" s="1">
        <v>42528</v>
      </c>
      <c r="L310">
        <v>309</v>
      </c>
    </row>
    <row r="311" spans="2:12" x14ac:dyDescent="0.25">
      <c r="B311" s="1">
        <v>42529</v>
      </c>
      <c r="L311">
        <v>310</v>
      </c>
    </row>
    <row r="312" spans="2:12" x14ac:dyDescent="0.25">
      <c r="B312" s="1">
        <v>42530</v>
      </c>
      <c r="L312">
        <v>311</v>
      </c>
    </row>
    <row r="313" spans="2:12" x14ac:dyDescent="0.25">
      <c r="B313" s="1">
        <v>42531</v>
      </c>
      <c r="L313">
        <v>312</v>
      </c>
    </row>
    <row r="314" spans="2:12" x14ac:dyDescent="0.25">
      <c r="B314" s="1">
        <v>42532</v>
      </c>
      <c r="L314">
        <v>313</v>
      </c>
    </row>
    <row r="315" spans="2:12" x14ac:dyDescent="0.25">
      <c r="B315" s="1">
        <v>42533</v>
      </c>
      <c r="L315">
        <v>314</v>
      </c>
    </row>
    <row r="316" spans="2:12" x14ac:dyDescent="0.25">
      <c r="B316" s="1">
        <v>42534</v>
      </c>
      <c r="L316">
        <v>315</v>
      </c>
    </row>
    <row r="317" spans="2:12" x14ac:dyDescent="0.25">
      <c r="B317" s="1">
        <v>42535</v>
      </c>
      <c r="L317">
        <v>316</v>
      </c>
    </row>
    <row r="318" spans="2:12" x14ac:dyDescent="0.25">
      <c r="B318" s="1">
        <v>42536</v>
      </c>
      <c r="L318">
        <v>317</v>
      </c>
    </row>
    <row r="319" spans="2:12" x14ac:dyDescent="0.25">
      <c r="B319" s="1">
        <v>42537</v>
      </c>
      <c r="L319">
        <v>318</v>
      </c>
    </row>
    <row r="320" spans="2:12" x14ac:dyDescent="0.25">
      <c r="B320" s="1">
        <v>42538</v>
      </c>
      <c r="L320">
        <v>319</v>
      </c>
    </row>
    <row r="321" spans="2:12" x14ac:dyDescent="0.25">
      <c r="B321" s="1">
        <v>42539</v>
      </c>
      <c r="L321">
        <v>320</v>
      </c>
    </row>
    <row r="322" spans="2:12" x14ac:dyDescent="0.25">
      <c r="B322" s="1">
        <v>42540</v>
      </c>
      <c r="L322">
        <v>321</v>
      </c>
    </row>
    <row r="323" spans="2:12" x14ac:dyDescent="0.25">
      <c r="B323" s="1">
        <v>42541</v>
      </c>
      <c r="L323">
        <v>322</v>
      </c>
    </row>
    <row r="324" spans="2:12" x14ac:dyDescent="0.25">
      <c r="B324" s="1">
        <v>42542</v>
      </c>
      <c r="L324">
        <v>323</v>
      </c>
    </row>
    <row r="325" spans="2:12" x14ac:dyDescent="0.25">
      <c r="B325" s="1">
        <v>42543</v>
      </c>
      <c r="L325">
        <v>324</v>
      </c>
    </row>
    <row r="326" spans="2:12" x14ac:dyDescent="0.25">
      <c r="B326" s="1">
        <v>42544</v>
      </c>
      <c r="L326">
        <v>325</v>
      </c>
    </row>
    <row r="327" spans="2:12" x14ac:dyDescent="0.25">
      <c r="B327" s="1">
        <v>42545</v>
      </c>
      <c r="L327">
        <v>326</v>
      </c>
    </row>
    <row r="328" spans="2:12" x14ac:dyDescent="0.25">
      <c r="B328" s="1">
        <v>42546</v>
      </c>
      <c r="L328">
        <v>327</v>
      </c>
    </row>
    <row r="329" spans="2:12" x14ac:dyDescent="0.25">
      <c r="B329" s="1">
        <v>42547</v>
      </c>
      <c r="L329">
        <v>328</v>
      </c>
    </row>
    <row r="330" spans="2:12" x14ac:dyDescent="0.25">
      <c r="B330" s="1">
        <v>42548</v>
      </c>
      <c r="L330">
        <v>329</v>
      </c>
    </row>
    <row r="331" spans="2:12" x14ac:dyDescent="0.25">
      <c r="B331" s="1">
        <v>42549</v>
      </c>
      <c r="L331">
        <v>330</v>
      </c>
    </row>
    <row r="332" spans="2:12" x14ac:dyDescent="0.25">
      <c r="B332" s="1">
        <v>42550</v>
      </c>
      <c r="L332">
        <v>331</v>
      </c>
    </row>
    <row r="333" spans="2:12" x14ac:dyDescent="0.25">
      <c r="B333" s="1">
        <v>42551</v>
      </c>
      <c r="L333">
        <v>332</v>
      </c>
    </row>
    <row r="334" spans="2:12" x14ac:dyDescent="0.25">
      <c r="B334" s="1">
        <v>42552</v>
      </c>
      <c r="L334">
        <v>333</v>
      </c>
    </row>
    <row r="335" spans="2:12" x14ac:dyDescent="0.25">
      <c r="B335" s="1">
        <v>42553</v>
      </c>
      <c r="L335">
        <v>334</v>
      </c>
    </row>
    <row r="336" spans="2:12" x14ac:dyDescent="0.25">
      <c r="B336" s="1">
        <v>42554</v>
      </c>
      <c r="L336">
        <v>335</v>
      </c>
    </row>
    <row r="337" spans="2:12" x14ac:dyDescent="0.25">
      <c r="B337" s="1">
        <v>42555</v>
      </c>
      <c r="L337">
        <v>336</v>
      </c>
    </row>
    <row r="338" spans="2:12" x14ac:dyDescent="0.25">
      <c r="B338" s="1">
        <v>42556</v>
      </c>
      <c r="L338">
        <v>337</v>
      </c>
    </row>
    <row r="339" spans="2:12" x14ac:dyDescent="0.25">
      <c r="B339" s="1">
        <v>42557</v>
      </c>
      <c r="L339">
        <v>338</v>
      </c>
    </row>
    <row r="340" spans="2:12" x14ac:dyDescent="0.25">
      <c r="B340" s="1">
        <v>42558</v>
      </c>
      <c r="L340">
        <v>339</v>
      </c>
    </row>
    <row r="341" spans="2:12" x14ac:dyDescent="0.25">
      <c r="B341" s="1">
        <v>42559</v>
      </c>
      <c r="L341">
        <v>340</v>
      </c>
    </row>
    <row r="342" spans="2:12" x14ac:dyDescent="0.25">
      <c r="B342" s="1">
        <v>42560</v>
      </c>
      <c r="L342">
        <v>341</v>
      </c>
    </row>
    <row r="343" spans="2:12" x14ac:dyDescent="0.25">
      <c r="B343" s="1">
        <v>42561</v>
      </c>
      <c r="L343">
        <v>342</v>
      </c>
    </row>
    <row r="344" spans="2:12" x14ac:dyDescent="0.25">
      <c r="B344" s="1">
        <v>42562</v>
      </c>
      <c r="L344">
        <v>343</v>
      </c>
    </row>
    <row r="345" spans="2:12" x14ac:dyDescent="0.25">
      <c r="B345" s="1">
        <v>42563</v>
      </c>
      <c r="L345">
        <v>344</v>
      </c>
    </row>
    <row r="346" spans="2:12" x14ac:dyDescent="0.25">
      <c r="B346" s="1">
        <v>42564</v>
      </c>
      <c r="L346">
        <v>345</v>
      </c>
    </row>
    <row r="347" spans="2:12" x14ac:dyDescent="0.25">
      <c r="B347" s="1">
        <v>42565</v>
      </c>
      <c r="L347">
        <v>346</v>
      </c>
    </row>
    <row r="348" spans="2:12" x14ac:dyDescent="0.25">
      <c r="B348" s="1">
        <v>42566</v>
      </c>
      <c r="L348">
        <v>347</v>
      </c>
    </row>
    <row r="349" spans="2:12" x14ac:dyDescent="0.25">
      <c r="B349" s="1">
        <v>42567</v>
      </c>
      <c r="L349">
        <v>348</v>
      </c>
    </row>
    <row r="350" spans="2:12" x14ac:dyDescent="0.25">
      <c r="B350" s="1">
        <v>42568</v>
      </c>
      <c r="L350">
        <v>349</v>
      </c>
    </row>
    <row r="351" spans="2:12" x14ac:dyDescent="0.25">
      <c r="B351" s="1">
        <v>42569</v>
      </c>
      <c r="L351">
        <v>350</v>
      </c>
    </row>
    <row r="352" spans="2:12" x14ac:dyDescent="0.25">
      <c r="B352" s="1">
        <v>42570</v>
      </c>
      <c r="L352">
        <v>351</v>
      </c>
    </row>
    <row r="353" spans="2:12" x14ac:dyDescent="0.25">
      <c r="B353" s="1">
        <v>42571</v>
      </c>
      <c r="L353">
        <v>352</v>
      </c>
    </row>
    <row r="354" spans="2:12" x14ac:dyDescent="0.25">
      <c r="B354" s="1">
        <v>42572</v>
      </c>
      <c r="L354">
        <v>353</v>
      </c>
    </row>
    <row r="355" spans="2:12" x14ac:dyDescent="0.25">
      <c r="B355" s="1">
        <v>42573</v>
      </c>
      <c r="L355">
        <v>354</v>
      </c>
    </row>
    <row r="356" spans="2:12" x14ac:dyDescent="0.25">
      <c r="B356" s="1">
        <v>42574</v>
      </c>
      <c r="L356">
        <v>355</v>
      </c>
    </row>
    <row r="357" spans="2:12" x14ac:dyDescent="0.25">
      <c r="B357" s="1">
        <v>42575</v>
      </c>
      <c r="L357">
        <v>356</v>
      </c>
    </row>
    <row r="358" spans="2:12" x14ac:dyDescent="0.25">
      <c r="B358" s="1">
        <v>42576</v>
      </c>
      <c r="L358">
        <v>357</v>
      </c>
    </row>
    <row r="359" spans="2:12" x14ac:dyDescent="0.25">
      <c r="B359" s="1">
        <v>42577</v>
      </c>
      <c r="L359">
        <v>358</v>
      </c>
    </row>
    <row r="360" spans="2:12" x14ac:dyDescent="0.25">
      <c r="B360" s="1">
        <v>42578</v>
      </c>
      <c r="L360">
        <v>359</v>
      </c>
    </row>
    <row r="361" spans="2:12" x14ac:dyDescent="0.25">
      <c r="B361" s="1">
        <v>42579</v>
      </c>
      <c r="L361">
        <v>360</v>
      </c>
    </row>
    <row r="362" spans="2:12" x14ac:dyDescent="0.25">
      <c r="B362" s="1">
        <v>42580</v>
      </c>
      <c r="L362">
        <v>361</v>
      </c>
    </row>
    <row r="363" spans="2:12" x14ac:dyDescent="0.25">
      <c r="B363" s="1">
        <v>42581</v>
      </c>
      <c r="L363">
        <v>362</v>
      </c>
    </row>
    <row r="364" spans="2:12" x14ac:dyDescent="0.25">
      <c r="B364" s="1">
        <v>42582</v>
      </c>
      <c r="L364">
        <v>363</v>
      </c>
    </row>
    <row r="365" spans="2:12" x14ac:dyDescent="0.25">
      <c r="B365" s="1">
        <v>42583</v>
      </c>
      <c r="L365">
        <v>364</v>
      </c>
    </row>
    <row r="366" spans="2:12" x14ac:dyDescent="0.25">
      <c r="B366" s="1">
        <v>42584</v>
      </c>
      <c r="L366">
        <v>365</v>
      </c>
    </row>
    <row r="367" spans="2:12" x14ac:dyDescent="0.25">
      <c r="B367" s="1">
        <v>42585</v>
      </c>
      <c r="L367">
        <v>366</v>
      </c>
    </row>
    <row r="368" spans="2:12" x14ac:dyDescent="0.25">
      <c r="B368" s="1">
        <v>42586</v>
      </c>
      <c r="L368">
        <v>367</v>
      </c>
    </row>
    <row r="369" spans="2:12" x14ac:dyDescent="0.25">
      <c r="B369" s="1">
        <v>42587</v>
      </c>
      <c r="L369">
        <v>368</v>
      </c>
    </row>
    <row r="370" spans="2:12" x14ac:dyDescent="0.25">
      <c r="B370" s="1">
        <v>42588</v>
      </c>
      <c r="L370">
        <v>369</v>
      </c>
    </row>
    <row r="371" spans="2:12" x14ac:dyDescent="0.25">
      <c r="B371" s="1">
        <v>42589</v>
      </c>
      <c r="L371">
        <v>370</v>
      </c>
    </row>
    <row r="372" spans="2:12" x14ac:dyDescent="0.25">
      <c r="B372" s="1">
        <v>42590</v>
      </c>
      <c r="L372">
        <v>371</v>
      </c>
    </row>
    <row r="373" spans="2:12" x14ac:dyDescent="0.25">
      <c r="B373" s="1">
        <v>42591</v>
      </c>
      <c r="L373">
        <v>372</v>
      </c>
    </row>
    <row r="374" spans="2:12" x14ac:dyDescent="0.25">
      <c r="B374" s="1">
        <v>42592</v>
      </c>
      <c r="L374">
        <v>373</v>
      </c>
    </row>
    <row r="375" spans="2:12" x14ac:dyDescent="0.25">
      <c r="B375" s="1">
        <v>42593</v>
      </c>
      <c r="L375">
        <v>374</v>
      </c>
    </row>
    <row r="376" spans="2:12" x14ac:dyDescent="0.25">
      <c r="B376" s="1">
        <v>42594</v>
      </c>
      <c r="L376">
        <v>375</v>
      </c>
    </row>
    <row r="377" spans="2:12" x14ac:dyDescent="0.25">
      <c r="B377" s="1">
        <v>42595</v>
      </c>
      <c r="L377">
        <v>376</v>
      </c>
    </row>
    <row r="378" spans="2:12" x14ac:dyDescent="0.25">
      <c r="B378" s="1">
        <v>42596</v>
      </c>
      <c r="L378">
        <v>377</v>
      </c>
    </row>
    <row r="379" spans="2:12" x14ac:dyDescent="0.25">
      <c r="B379" s="1">
        <v>42597</v>
      </c>
      <c r="L379">
        <v>378</v>
      </c>
    </row>
    <row r="380" spans="2:12" x14ac:dyDescent="0.25">
      <c r="B380" s="1">
        <v>42598</v>
      </c>
      <c r="L380">
        <v>379</v>
      </c>
    </row>
    <row r="381" spans="2:12" x14ac:dyDescent="0.25">
      <c r="B381" s="1">
        <v>42599</v>
      </c>
      <c r="L381">
        <v>380</v>
      </c>
    </row>
    <row r="382" spans="2:12" x14ac:dyDescent="0.25">
      <c r="B382" s="1">
        <v>42600</v>
      </c>
      <c r="L382">
        <v>381</v>
      </c>
    </row>
    <row r="383" spans="2:12" x14ac:dyDescent="0.25">
      <c r="B383" s="1">
        <v>42601</v>
      </c>
      <c r="L383">
        <v>382</v>
      </c>
    </row>
    <row r="384" spans="2:12" x14ac:dyDescent="0.25">
      <c r="B384" s="1">
        <v>42602</v>
      </c>
      <c r="L384">
        <v>383</v>
      </c>
    </row>
    <row r="385" spans="2:12" x14ac:dyDescent="0.25">
      <c r="B385" s="1">
        <v>42603</v>
      </c>
      <c r="L385">
        <v>384</v>
      </c>
    </row>
    <row r="386" spans="2:12" x14ac:dyDescent="0.25">
      <c r="B386" s="1">
        <v>42604</v>
      </c>
      <c r="L386">
        <v>385</v>
      </c>
    </row>
    <row r="387" spans="2:12" x14ac:dyDescent="0.25">
      <c r="B387" s="1">
        <v>42605</v>
      </c>
      <c r="L387">
        <v>386</v>
      </c>
    </row>
    <row r="388" spans="2:12" x14ac:dyDescent="0.25">
      <c r="B388" s="1">
        <v>42606</v>
      </c>
      <c r="L388">
        <v>387</v>
      </c>
    </row>
    <row r="389" spans="2:12" x14ac:dyDescent="0.25">
      <c r="B389" s="1">
        <v>42607</v>
      </c>
      <c r="L389">
        <v>388</v>
      </c>
    </row>
    <row r="390" spans="2:12" x14ac:dyDescent="0.25">
      <c r="B390" s="1">
        <v>42608</v>
      </c>
      <c r="L390">
        <v>389</v>
      </c>
    </row>
    <row r="391" spans="2:12" x14ac:dyDescent="0.25">
      <c r="B391" s="1">
        <v>42609</v>
      </c>
      <c r="L391">
        <v>390</v>
      </c>
    </row>
    <row r="392" spans="2:12" x14ac:dyDescent="0.25">
      <c r="B392" s="1">
        <v>42610</v>
      </c>
      <c r="L392">
        <v>391</v>
      </c>
    </row>
    <row r="393" spans="2:12" x14ac:dyDescent="0.25">
      <c r="B393" s="1">
        <v>42611</v>
      </c>
      <c r="L393">
        <v>392</v>
      </c>
    </row>
    <row r="394" spans="2:12" x14ac:dyDescent="0.25">
      <c r="B394" s="1">
        <v>42612</v>
      </c>
      <c r="L394">
        <v>393</v>
      </c>
    </row>
    <row r="395" spans="2:12" x14ac:dyDescent="0.25">
      <c r="B395" s="1">
        <v>42613</v>
      </c>
      <c r="L395">
        <v>394</v>
      </c>
    </row>
    <row r="396" spans="2:12" x14ac:dyDescent="0.25">
      <c r="B396" s="1">
        <v>42614</v>
      </c>
      <c r="L396">
        <v>395</v>
      </c>
    </row>
    <row r="397" spans="2:12" x14ac:dyDescent="0.25">
      <c r="B397" s="1">
        <v>42615</v>
      </c>
      <c r="L397">
        <v>396</v>
      </c>
    </row>
    <row r="398" spans="2:12" x14ac:dyDescent="0.25">
      <c r="B398" s="1">
        <v>42616</v>
      </c>
      <c r="L398">
        <v>397</v>
      </c>
    </row>
    <row r="399" spans="2:12" x14ac:dyDescent="0.25">
      <c r="B399" s="1">
        <v>42617</v>
      </c>
      <c r="L399">
        <v>398</v>
      </c>
    </row>
    <row r="400" spans="2:12" x14ac:dyDescent="0.25">
      <c r="B400" s="1">
        <v>42618</v>
      </c>
      <c r="L400">
        <v>399</v>
      </c>
    </row>
    <row r="401" spans="2:12" x14ac:dyDescent="0.25">
      <c r="B401" s="1">
        <v>42619</v>
      </c>
      <c r="L401">
        <v>400</v>
      </c>
    </row>
    <row r="402" spans="2:12" x14ac:dyDescent="0.25">
      <c r="B402" s="1">
        <v>42620</v>
      </c>
      <c r="L402">
        <v>401</v>
      </c>
    </row>
    <row r="403" spans="2:12" x14ac:dyDescent="0.25">
      <c r="B403" s="1">
        <v>42621</v>
      </c>
      <c r="L403">
        <v>402</v>
      </c>
    </row>
    <row r="404" spans="2:12" x14ac:dyDescent="0.25">
      <c r="B404" s="1">
        <v>42622</v>
      </c>
      <c r="L404">
        <v>403</v>
      </c>
    </row>
    <row r="405" spans="2:12" x14ac:dyDescent="0.25">
      <c r="B405" s="1">
        <v>42623</v>
      </c>
      <c r="L405">
        <v>404</v>
      </c>
    </row>
    <row r="406" spans="2:12" x14ac:dyDescent="0.25">
      <c r="B406" s="1">
        <v>42624</v>
      </c>
      <c r="L406">
        <v>405</v>
      </c>
    </row>
    <row r="407" spans="2:12" x14ac:dyDescent="0.25">
      <c r="B407" s="1">
        <v>42625</v>
      </c>
      <c r="L407">
        <v>406</v>
      </c>
    </row>
    <row r="408" spans="2:12" x14ac:dyDescent="0.25">
      <c r="B408" s="1">
        <v>42626</v>
      </c>
      <c r="L408">
        <v>407</v>
      </c>
    </row>
    <row r="409" spans="2:12" x14ac:dyDescent="0.25">
      <c r="B409" s="1">
        <v>42627</v>
      </c>
      <c r="L409">
        <v>408</v>
      </c>
    </row>
    <row r="410" spans="2:12" x14ac:dyDescent="0.25">
      <c r="B410" s="1">
        <v>42628</v>
      </c>
      <c r="L410">
        <v>409</v>
      </c>
    </row>
    <row r="411" spans="2:12" x14ac:dyDescent="0.25">
      <c r="B411" s="1">
        <v>42629</v>
      </c>
      <c r="L411">
        <v>410</v>
      </c>
    </row>
    <row r="412" spans="2:12" x14ac:dyDescent="0.25">
      <c r="B412" s="1">
        <v>42630</v>
      </c>
      <c r="L412">
        <v>411</v>
      </c>
    </row>
    <row r="413" spans="2:12" x14ac:dyDescent="0.25">
      <c r="B413" s="1">
        <v>42631</v>
      </c>
      <c r="L413">
        <v>412</v>
      </c>
    </row>
    <row r="414" spans="2:12" x14ac:dyDescent="0.25">
      <c r="B414" s="1">
        <v>42632</v>
      </c>
      <c r="L414">
        <v>413</v>
      </c>
    </row>
    <row r="415" spans="2:12" x14ac:dyDescent="0.25">
      <c r="B415" s="1">
        <v>42633</v>
      </c>
      <c r="L415">
        <v>414</v>
      </c>
    </row>
    <row r="416" spans="2:12" x14ac:dyDescent="0.25">
      <c r="B416" s="1">
        <v>42634</v>
      </c>
      <c r="L416">
        <v>415</v>
      </c>
    </row>
    <row r="417" spans="2:12" x14ac:dyDescent="0.25">
      <c r="B417" s="1">
        <v>42635</v>
      </c>
      <c r="L417">
        <v>416</v>
      </c>
    </row>
    <row r="418" spans="2:12" x14ac:dyDescent="0.25">
      <c r="B418" s="1">
        <v>42636</v>
      </c>
      <c r="L418">
        <v>417</v>
      </c>
    </row>
    <row r="419" spans="2:12" x14ac:dyDescent="0.25">
      <c r="B419" s="1">
        <v>42637</v>
      </c>
      <c r="L419">
        <v>418</v>
      </c>
    </row>
    <row r="420" spans="2:12" x14ac:dyDescent="0.25">
      <c r="B420" s="1">
        <v>42638</v>
      </c>
      <c r="L420">
        <v>419</v>
      </c>
    </row>
    <row r="421" spans="2:12" x14ac:dyDescent="0.25">
      <c r="B421" s="1">
        <v>42639</v>
      </c>
      <c r="L421">
        <v>420</v>
      </c>
    </row>
    <row r="422" spans="2:12" x14ac:dyDescent="0.25">
      <c r="B422" s="1">
        <v>42640</v>
      </c>
      <c r="L422">
        <v>421</v>
      </c>
    </row>
    <row r="423" spans="2:12" x14ac:dyDescent="0.25">
      <c r="B423" s="1">
        <v>42641</v>
      </c>
      <c r="L423">
        <v>422</v>
      </c>
    </row>
    <row r="424" spans="2:12" x14ac:dyDescent="0.25">
      <c r="B424" s="1">
        <v>42642</v>
      </c>
      <c r="L424">
        <v>423</v>
      </c>
    </row>
    <row r="425" spans="2:12" x14ac:dyDescent="0.25">
      <c r="B425" s="1">
        <v>42643</v>
      </c>
      <c r="L425">
        <v>424</v>
      </c>
    </row>
    <row r="426" spans="2:12" x14ac:dyDescent="0.25">
      <c r="B426" s="1">
        <v>42644</v>
      </c>
      <c r="L426">
        <v>425</v>
      </c>
    </row>
    <row r="427" spans="2:12" x14ac:dyDescent="0.25">
      <c r="B427" s="1">
        <v>42645</v>
      </c>
      <c r="L427">
        <v>426</v>
      </c>
    </row>
    <row r="428" spans="2:12" x14ac:dyDescent="0.25">
      <c r="B428" s="1">
        <v>42646</v>
      </c>
      <c r="L428">
        <v>427</v>
      </c>
    </row>
    <row r="429" spans="2:12" x14ac:dyDescent="0.25">
      <c r="B429" s="1">
        <v>42647</v>
      </c>
      <c r="L429">
        <v>428</v>
      </c>
    </row>
    <row r="430" spans="2:12" x14ac:dyDescent="0.25">
      <c r="B430" s="1">
        <v>42648</v>
      </c>
      <c r="L430">
        <v>429</v>
      </c>
    </row>
    <row r="431" spans="2:12" x14ac:dyDescent="0.25">
      <c r="B431" s="1">
        <v>42649</v>
      </c>
      <c r="L431">
        <v>430</v>
      </c>
    </row>
    <row r="432" spans="2:12" x14ac:dyDescent="0.25">
      <c r="B432" s="1">
        <v>42650</v>
      </c>
      <c r="L432">
        <v>431</v>
      </c>
    </row>
    <row r="433" spans="2:12" x14ac:dyDescent="0.25">
      <c r="B433" s="1">
        <v>42651</v>
      </c>
      <c r="L433">
        <v>432</v>
      </c>
    </row>
    <row r="434" spans="2:12" x14ac:dyDescent="0.25">
      <c r="B434" s="1">
        <v>42652</v>
      </c>
      <c r="L434">
        <v>433</v>
      </c>
    </row>
    <row r="435" spans="2:12" x14ac:dyDescent="0.25">
      <c r="B435" s="1">
        <v>42653</v>
      </c>
      <c r="L435">
        <v>434</v>
      </c>
    </row>
    <row r="436" spans="2:12" x14ac:dyDescent="0.25">
      <c r="B436" s="1">
        <v>42654</v>
      </c>
      <c r="L436">
        <v>435</v>
      </c>
    </row>
    <row r="437" spans="2:12" x14ac:dyDescent="0.25">
      <c r="B437" s="1">
        <v>42655</v>
      </c>
      <c r="L437">
        <v>436</v>
      </c>
    </row>
    <row r="438" spans="2:12" x14ac:dyDescent="0.25">
      <c r="B438" s="1">
        <v>42656</v>
      </c>
      <c r="L438">
        <v>437</v>
      </c>
    </row>
    <row r="439" spans="2:12" x14ac:dyDescent="0.25">
      <c r="B439" s="1">
        <v>42657</v>
      </c>
      <c r="L439">
        <v>438</v>
      </c>
    </row>
    <row r="440" spans="2:12" x14ac:dyDescent="0.25">
      <c r="B440" s="1">
        <v>42658</v>
      </c>
      <c r="L440">
        <v>439</v>
      </c>
    </row>
    <row r="441" spans="2:12" x14ac:dyDescent="0.25">
      <c r="B441" s="1">
        <v>42659</v>
      </c>
      <c r="L441">
        <v>440</v>
      </c>
    </row>
    <row r="442" spans="2:12" x14ac:dyDescent="0.25">
      <c r="B442" s="1">
        <v>42660</v>
      </c>
      <c r="L442">
        <v>441</v>
      </c>
    </row>
    <row r="443" spans="2:12" x14ac:dyDescent="0.25">
      <c r="B443" s="1">
        <v>42661</v>
      </c>
      <c r="L443">
        <v>442</v>
      </c>
    </row>
    <row r="444" spans="2:12" x14ac:dyDescent="0.25">
      <c r="B444" s="1">
        <v>42662</v>
      </c>
      <c r="L444">
        <v>443</v>
      </c>
    </row>
    <row r="445" spans="2:12" x14ac:dyDescent="0.25">
      <c r="B445" s="1">
        <v>42663</v>
      </c>
      <c r="L445">
        <v>444</v>
      </c>
    </row>
    <row r="446" spans="2:12" x14ac:dyDescent="0.25">
      <c r="B446" s="1">
        <v>42664</v>
      </c>
      <c r="L446">
        <v>445</v>
      </c>
    </row>
    <row r="447" spans="2:12" x14ac:dyDescent="0.25">
      <c r="B447" s="1">
        <v>42665</v>
      </c>
      <c r="L447">
        <v>446</v>
      </c>
    </row>
    <row r="448" spans="2:12" x14ac:dyDescent="0.25">
      <c r="B448" s="1">
        <v>42666</v>
      </c>
      <c r="L448">
        <v>447</v>
      </c>
    </row>
    <row r="449" spans="2:12" x14ac:dyDescent="0.25">
      <c r="B449" s="1">
        <v>42667</v>
      </c>
      <c r="L449">
        <v>448</v>
      </c>
    </row>
    <row r="450" spans="2:12" x14ac:dyDescent="0.25">
      <c r="B450" s="1">
        <v>42668</v>
      </c>
      <c r="L450">
        <v>449</v>
      </c>
    </row>
    <row r="451" spans="2:12" x14ac:dyDescent="0.25">
      <c r="B451" s="1">
        <v>42669</v>
      </c>
      <c r="L451">
        <v>450</v>
      </c>
    </row>
    <row r="452" spans="2:12" x14ac:dyDescent="0.25">
      <c r="B452" s="1">
        <v>42670</v>
      </c>
      <c r="L452">
        <v>451</v>
      </c>
    </row>
    <row r="453" spans="2:12" x14ac:dyDescent="0.25">
      <c r="B453" s="1">
        <v>42671</v>
      </c>
      <c r="L453">
        <v>452</v>
      </c>
    </row>
    <row r="454" spans="2:12" x14ac:dyDescent="0.25">
      <c r="B454" s="1">
        <v>42672</v>
      </c>
      <c r="L454">
        <v>453</v>
      </c>
    </row>
    <row r="455" spans="2:12" x14ac:dyDescent="0.25">
      <c r="B455" s="1">
        <v>42673</v>
      </c>
      <c r="L455">
        <v>454</v>
      </c>
    </row>
    <row r="456" spans="2:12" x14ac:dyDescent="0.25">
      <c r="B456" s="1">
        <v>42674</v>
      </c>
      <c r="L456">
        <v>455</v>
      </c>
    </row>
    <row r="457" spans="2:12" x14ac:dyDescent="0.25">
      <c r="B457" s="1">
        <v>42675</v>
      </c>
      <c r="L457">
        <v>456</v>
      </c>
    </row>
    <row r="458" spans="2:12" x14ac:dyDescent="0.25">
      <c r="B458" s="1">
        <v>42676</v>
      </c>
      <c r="L458">
        <v>457</v>
      </c>
    </row>
    <row r="459" spans="2:12" x14ac:dyDescent="0.25">
      <c r="B459" s="1">
        <v>42677</v>
      </c>
      <c r="L459">
        <v>458</v>
      </c>
    </row>
    <row r="460" spans="2:12" x14ac:dyDescent="0.25">
      <c r="B460" s="1">
        <v>42678</v>
      </c>
      <c r="L460">
        <v>459</v>
      </c>
    </row>
    <row r="461" spans="2:12" x14ac:dyDescent="0.25">
      <c r="B461" s="1">
        <v>42679</v>
      </c>
      <c r="L461">
        <v>460</v>
      </c>
    </row>
    <row r="462" spans="2:12" x14ac:dyDescent="0.25">
      <c r="B462" s="1">
        <v>42680</v>
      </c>
      <c r="L462">
        <v>461</v>
      </c>
    </row>
    <row r="463" spans="2:12" x14ac:dyDescent="0.25">
      <c r="B463" s="1">
        <v>42681</v>
      </c>
      <c r="L463">
        <v>462</v>
      </c>
    </row>
    <row r="464" spans="2:12" x14ac:dyDescent="0.25">
      <c r="B464" s="1">
        <v>42682</v>
      </c>
      <c r="L464">
        <v>463</v>
      </c>
    </row>
    <row r="465" spans="2:12" x14ac:dyDescent="0.25">
      <c r="B465" s="1">
        <v>42683</v>
      </c>
      <c r="L465">
        <v>464</v>
      </c>
    </row>
    <row r="466" spans="2:12" x14ac:dyDescent="0.25">
      <c r="B466" s="1">
        <v>42684</v>
      </c>
      <c r="L466">
        <v>465</v>
      </c>
    </row>
    <row r="467" spans="2:12" x14ac:dyDescent="0.25">
      <c r="B467" s="1">
        <v>42685</v>
      </c>
      <c r="L467">
        <v>466</v>
      </c>
    </row>
    <row r="468" spans="2:12" x14ac:dyDescent="0.25">
      <c r="B468" s="1">
        <v>42686</v>
      </c>
      <c r="L468">
        <v>467</v>
      </c>
    </row>
    <row r="469" spans="2:12" x14ac:dyDescent="0.25">
      <c r="B469" s="1">
        <v>42687</v>
      </c>
      <c r="L469">
        <v>468</v>
      </c>
    </row>
    <row r="470" spans="2:12" x14ac:dyDescent="0.25">
      <c r="B470" s="1">
        <v>42688</v>
      </c>
      <c r="L470">
        <v>469</v>
      </c>
    </row>
    <row r="471" spans="2:12" x14ac:dyDescent="0.25">
      <c r="B471" s="1">
        <v>42689</v>
      </c>
      <c r="L471">
        <v>470</v>
      </c>
    </row>
    <row r="472" spans="2:12" x14ac:dyDescent="0.25">
      <c r="B472" s="1">
        <v>42690</v>
      </c>
      <c r="L472">
        <v>471</v>
      </c>
    </row>
    <row r="473" spans="2:12" x14ac:dyDescent="0.25">
      <c r="B473" s="1">
        <v>42691</v>
      </c>
      <c r="L473">
        <v>472</v>
      </c>
    </row>
    <row r="474" spans="2:12" x14ac:dyDescent="0.25">
      <c r="B474" s="1">
        <v>42692</v>
      </c>
      <c r="L474">
        <v>473</v>
      </c>
    </row>
    <row r="475" spans="2:12" x14ac:dyDescent="0.25">
      <c r="B475" s="1">
        <v>42693</v>
      </c>
      <c r="L475">
        <v>474</v>
      </c>
    </row>
    <row r="476" spans="2:12" x14ac:dyDescent="0.25">
      <c r="B476" s="1">
        <v>42694</v>
      </c>
      <c r="L476">
        <v>475</v>
      </c>
    </row>
    <row r="477" spans="2:12" x14ac:dyDescent="0.25">
      <c r="B477" s="1">
        <v>42695</v>
      </c>
      <c r="L477">
        <v>476</v>
      </c>
    </row>
    <row r="478" spans="2:12" x14ac:dyDescent="0.25">
      <c r="B478" s="1">
        <v>42696</v>
      </c>
      <c r="L478">
        <v>477</v>
      </c>
    </row>
    <row r="479" spans="2:12" x14ac:dyDescent="0.25">
      <c r="B479" s="1">
        <v>42697</v>
      </c>
      <c r="L479">
        <v>478</v>
      </c>
    </row>
    <row r="480" spans="2:12" x14ac:dyDescent="0.25">
      <c r="B480" s="1">
        <v>42698</v>
      </c>
      <c r="L480">
        <v>479</v>
      </c>
    </row>
    <row r="481" spans="2:12" x14ac:dyDescent="0.25">
      <c r="B481" s="1">
        <v>42699</v>
      </c>
      <c r="L481">
        <v>480</v>
      </c>
    </row>
    <row r="482" spans="2:12" x14ac:dyDescent="0.25">
      <c r="B482" s="1">
        <v>42700</v>
      </c>
      <c r="L482">
        <v>481</v>
      </c>
    </row>
    <row r="483" spans="2:12" x14ac:dyDescent="0.25">
      <c r="B483" s="1">
        <v>42701</v>
      </c>
      <c r="L483">
        <v>482</v>
      </c>
    </row>
    <row r="484" spans="2:12" x14ac:dyDescent="0.25">
      <c r="B484" s="1">
        <v>42702</v>
      </c>
      <c r="L484">
        <v>483</v>
      </c>
    </row>
    <row r="485" spans="2:12" x14ac:dyDescent="0.25">
      <c r="B485" s="1">
        <v>42703</v>
      </c>
      <c r="L485">
        <v>484</v>
      </c>
    </row>
    <row r="486" spans="2:12" x14ac:dyDescent="0.25">
      <c r="B486" s="1">
        <v>42704</v>
      </c>
      <c r="L486">
        <v>485</v>
      </c>
    </row>
    <row r="487" spans="2:12" x14ac:dyDescent="0.25">
      <c r="B487" s="1">
        <v>42705</v>
      </c>
      <c r="L487">
        <v>486</v>
      </c>
    </row>
    <row r="488" spans="2:12" x14ac:dyDescent="0.25">
      <c r="B488" s="1">
        <v>42706</v>
      </c>
      <c r="L488">
        <v>487</v>
      </c>
    </row>
    <row r="489" spans="2:12" x14ac:dyDescent="0.25">
      <c r="B489" s="1">
        <v>42707</v>
      </c>
      <c r="L489">
        <v>488</v>
      </c>
    </row>
    <row r="490" spans="2:12" x14ac:dyDescent="0.25">
      <c r="B490" s="1">
        <v>42708</v>
      </c>
      <c r="L490">
        <v>489</v>
      </c>
    </row>
    <row r="491" spans="2:12" x14ac:dyDescent="0.25">
      <c r="B491" s="1">
        <v>42709</v>
      </c>
      <c r="L491">
        <v>490</v>
      </c>
    </row>
    <row r="492" spans="2:12" x14ac:dyDescent="0.25">
      <c r="B492" s="1">
        <v>42710</v>
      </c>
      <c r="L492">
        <v>491</v>
      </c>
    </row>
    <row r="493" spans="2:12" x14ac:dyDescent="0.25">
      <c r="B493" s="1">
        <v>42711</v>
      </c>
      <c r="L493">
        <v>492</v>
      </c>
    </row>
    <row r="494" spans="2:12" x14ac:dyDescent="0.25">
      <c r="B494" s="1">
        <v>42712</v>
      </c>
      <c r="L494">
        <v>493</v>
      </c>
    </row>
    <row r="495" spans="2:12" x14ac:dyDescent="0.25">
      <c r="B495" s="1">
        <v>42713</v>
      </c>
      <c r="L495">
        <v>494</v>
      </c>
    </row>
    <row r="496" spans="2:12" x14ac:dyDescent="0.25">
      <c r="B496" s="1">
        <v>42714</v>
      </c>
      <c r="L496">
        <v>495</v>
      </c>
    </row>
    <row r="497" spans="2:12" x14ac:dyDescent="0.25">
      <c r="B497" s="1">
        <v>42715</v>
      </c>
      <c r="L497">
        <v>496</v>
      </c>
    </row>
    <row r="498" spans="2:12" x14ac:dyDescent="0.25">
      <c r="B498" s="1">
        <v>42716</v>
      </c>
      <c r="L498">
        <v>497</v>
      </c>
    </row>
    <row r="499" spans="2:12" x14ac:dyDescent="0.25">
      <c r="B499" s="1">
        <v>42717</v>
      </c>
      <c r="L499">
        <v>498</v>
      </c>
    </row>
    <row r="500" spans="2:12" x14ac:dyDescent="0.25">
      <c r="B500" s="1">
        <v>42718</v>
      </c>
      <c r="L500">
        <v>499</v>
      </c>
    </row>
    <row r="501" spans="2:12" x14ac:dyDescent="0.25">
      <c r="B501" s="1">
        <v>42719</v>
      </c>
      <c r="L501">
        <v>500</v>
      </c>
    </row>
    <row r="502" spans="2:12" x14ac:dyDescent="0.25">
      <c r="B502" s="1">
        <v>42720</v>
      </c>
      <c r="L502">
        <v>501</v>
      </c>
    </row>
    <row r="503" spans="2:12" x14ac:dyDescent="0.25">
      <c r="B503" s="1">
        <v>42721</v>
      </c>
      <c r="L503">
        <v>502</v>
      </c>
    </row>
    <row r="504" spans="2:12" x14ac:dyDescent="0.25">
      <c r="B504" s="1">
        <v>42722</v>
      </c>
      <c r="L504">
        <v>503</v>
      </c>
    </row>
    <row r="505" spans="2:12" x14ac:dyDescent="0.25">
      <c r="B505" s="1">
        <v>42723</v>
      </c>
      <c r="L505">
        <v>504</v>
      </c>
    </row>
    <row r="506" spans="2:12" x14ac:dyDescent="0.25">
      <c r="B506" s="1">
        <v>42724</v>
      </c>
      <c r="L506">
        <v>505</v>
      </c>
    </row>
    <row r="507" spans="2:12" x14ac:dyDescent="0.25">
      <c r="B507" s="1">
        <v>42725</v>
      </c>
      <c r="L507">
        <v>506</v>
      </c>
    </row>
    <row r="508" spans="2:12" x14ac:dyDescent="0.25">
      <c r="B508" s="1">
        <v>42726</v>
      </c>
      <c r="L508">
        <v>507</v>
      </c>
    </row>
    <row r="509" spans="2:12" x14ac:dyDescent="0.25">
      <c r="B509" s="1">
        <v>42727</v>
      </c>
      <c r="L509">
        <v>508</v>
      </c>
    </row>
    <row r="510" spans="2:12" x14ac:dyDescent="0.25">
      <c r="B510" s="1">
        <v>42728</v>
      </c>
      <c r="L510">
        <v>509</v>
      </c>
    </row>
    <row r="511" spans="2:12" x14ac:dyDescent="0.25">
      <c r="B511" s="1">
        <v>42729</v>
      </c>
      <c r="L511">
        <v>510</v>
      </c>
    </row>
    <row r="512" spans="2:12" x14ac:dyDescent="0.25">
      <c r="B512" s="1">
        <v>42730</v>
      </c>
      <c r="L512">
        <v>511</v>
      </c>
    </row>
    <row r="513" spans="2:12" x14ac:dyDescent="0.25">
      <c r="B513" s="1">
        <v>42731</v>
      </c>
      <c r="L513">
        <v>512</v>
      </c>
    </row>
    <row r="514" spans="2:12" x14ac:dyDescent="0.25">
      <c r="B514" s="1">
        <v>42732</v>
      </c>
      <c r="L514">
        <v>513</v>
      </c>
    </row>
    <row r="515" spans="2:12" x14ac:dyDescent="0.25">
      <c r="B515" s="1">
        <v>42733</v>
      </c>
      <c r="L515">
        <v>514</v>
      </c>
    </row>
    <row r="516" spans="2:12" x14ac:dyDescent="0.25">
      <c r="B516" s="1">
        <v>42734</v>
      </c>
      <c r="L516">
        <v>515</v>
      </c>
    </row>
    <row r="517" spans="2:12" x14ac:dyDescent="0.25">
      <c r="B517" s="1">
        <v>42735</v>
      </c>
      <c r="L517">
        <v>516</v>
      </c>
    </row>
    <row r="518" spans="2:12" x14ac:dyDescent="0.25">
      <c r="B518" s="1">
        <v>42736</v>
      </c>
      <c r="L518">
        <v>517</v>
      </c>
    </row>
    <row r="519" spans="2:12" x14ac:dyDescent="0.25">
      <c r="B519" s="1">
        <v>42737</v>
      </c>
      <c r="L519">
        <v>518</v>
      </c>
    </row>
    <row r="520" spans="2:12" x14ac:dyDescent="0.25">
      <c r="B520" s="1">
        <v>42738</v>
      </c>
      <c r="L520">
        <v>519</v>
      </c>
    </row>
    <row r="521" spans="2:12" x14ac:dyDescent="0.25">
      <c r="B521" s="1">
        <v>42739</v>
      </c>
      <c r="L521">
        <v>520</v>
      </c>
    </row>
    <row r="522" spans="2:12" x14ac:dyDescent="0.25">
      <c r="B522" s="1">
        <v>42740</v>
      </c>
      <c r="L522">
        <v>521</v>
      </c>
    </row>
    <row r="523" spans="2:12" x14ac:dyDescent="0.25">
      <c r="B523" s="1">
        <v>42741</v>
      </c>
      <c r="L523">
        <v>522</v>
      </c>
    </row>
    <row r="524" spans="2:12" x14ac:dyDescent="0.25">
      <c r="B524" s="1">
        <v>42742</v>
      </c>
      <c r="L524">
        <v>523</v>
      </c>
    </row>
    <row r="525" spans="2:12" x14ac:dyDescent="0.25">
      <c r="B525" s="1">
        <v>42743</v>
      </c>
      <c r="L525">
        <v>524</v>
      </c>
    </row>
    <row r="526" spans="2:12" x14ac:dyDescent="0.25">
      <c r="B526" s="1">
        <v>42744</v>
      </c>
      <c r="L526">
        <v>525</v>
      </c>
    </row>
    <row r="527" spans="2:12" x14ac:dyDescent="0.25">
      <c r="B527" s="1">
        <v>42745</v>
      </c>
      <c r="L527">
        <v>526</v>
      </c>
    </row>
    <row r="528" spans="2:12" x14ac:dyDescent="0.25">
      <c r="B528" s="1">
        <v>42746</v>
      </c>
      <c r="L528">
        <v>527</v>
      </c>
    </row>
    <row r="529" spans="2:12" x14ac:dyDescent="0.25">
      <c r="B529" s="1">
        <v>42747</v>
      </c>
      <c r="L529">
        <v>528</v>
      </c>
    </row>
    <row r="530" spans="2:12" x14ac:dyDescent="0.25">
      <c r="B530" s="1">
        <v>42748</v>
      </c>
      <c r="L530">
        <v>529</v>
      </c>
    </row>
    <row r="531" spans="2:12" x14ac:dyDescent="0.25">
      <c r="B531" s="1">
        <v>42749</v>
      </c>
      <c r="L531">
        <v>530</v>
      </c>
    </row>
    <row r="532" spans="2:12" x14ac:dyDescent="0.25">
      <c r="B532" s="1">
        <v>42750</v>
      </c>
      <c r="L532">
        <v>531</v>
      </c>
    </row>
    <row r="533" spans="2:12" x14ac:dyDescent="0.25">
      <c r="B533" s="1">
        <v>42751</v>
      </c>
      <c r="L533">
        <v>532</v>
      </c>
    </row>
    <row r="534" spans="2:12" x14ac:dyDescent="0.25">
      <c r="B534" s="1">
        <v>42752</v>
      </c>
      <c r="L534">
        <v>533</v>
      </c>
    </row>
    <row r="535" spans="2:12" x14ac:dyDescent="0.25">
      <c r="B535" s="1">
        <v>42753</v>
      </c>
      <c r="L535">
        <v>534</v>
      </c>
    </row>
    <row r="536" spans="2:12" x14ac:dyDescent="0.25">
      <c r="B536" s="1">
        <v>42754</v>
      </c>
      <c r="L536">
        <v>535</v>
      </c>
    </row>
    <row r="537" spans="2:12" x14ac:dyDescent="0.25">
      <c r="B537" s="1">
        <v>42755</v>
      </c>
      <c r="L537">
        <v>536</v>
      </c>
    </row>
    <row r="538" spans="2:12" x14ac:dyDescent="0.25">
      <c r="B538" s="1">
        <v>42756</v>
      </c>
      <c r="L538">
        <v>537</v>
      </c>
    </row>
    <row r="539" spans="2:12" x14ac:dyDescent="0.25">
      <c r="B539" s="1">
        <v>42757</v>
      </c>
      <c r="L539">
        <v>538</v>
      </c>
    </row>
    <row r="540" spans="2:12" x14ac:dyDescent="0.25">
      <c r="B540" s="1">
        <v>42758</v>
      </c>
      <c r="L540">
        <v>539</v>
      </c>
    </row>
    <row r="541" spans="2:12" x14ac:dyDescent="0.25">
      <c r="B541" s="1">
        <v>42759</v>
      </c>
      <c r="L541">
        <v>540</v>
      </c>
    </row>
    <row r="542" spans="2:12" x14ac:dyDescent="0.25">
      <c r="B542" s="1">
        <v>42760</v>
      </c>
      <c r="L542">
        <v>541</v>
      </c>
    </row>
    <row r="543" spans="2:12" x14ac:dyDescent="0.25">
      <c r="B543" s="1">
        <v>42761</v>
      </c>
      <c r="L543">
        <v>542</v>
      </c>
    </row>
    <row r="544" spans="2:12" x14ac:dyDescent="0.25">
      <c r="B544" s="1">
        <v>42762</v>
      </c>
      <c r="L544">
        <v>543</v>
      </c>
    </row>
    <row r="545" spans="2:12" x14ac:dyDescent="0.25">
      <c r="B545" s="1">
        <v>42763</v>
      </c>
      <c r="L545">
        <v>544</v>
      </c>
    </row>
    <row r="546" spans="2:12" x14ac:dyDescent="0.25">
      <c r="B546" s="1">
        <v>42764</v>
      </c>
      <c r="L546">
        <v>545</v>
      </c>
    </row>
    <row r="547" spans="2:12" x14ac:dyDescent="0.25">
      <c r="B547" s="1">
        <v>42765</v>
      </c>
      <c r="L547">
        <v>546</v>
      </c>
    </row>
    <row r="548" spans="2:12" x14ac:dyDescent="0.25">
      <c r="B548" s="1">
        <v>42766</v>
      </c>
      <c r="L548">
        <v>547</v>
      </c>
    </row>
    <row r="549" spans="2:12" x14ac:dyDescent="0.25">
      <c r="B549" s="1">
        <v>42767</v>
      </c>
      <c r="L549">
        <v>548</v>
      </c>
    </row>
    <row r="550" spans="2:12" x14ac:dyDescent="0.25">
      <c r="B550" s="1">
        <v>42768</v>
      </c>
      <c r="L550">
        <v>549</v>
      </c>
    </row>
    <row r="551" spans="2:12" x14ac:dyDescent="0.25">
      <c r="B551" s="1">
        <v>42769</v>
      </c>
      <c r="L551">
        <v>550</v>
      </c>
    </row>
    <row r="552" spans="2:12" x14ac:dyDescent="0.25">
      <c r="B552" s="1">
        <v>42770</v>
      </c>
      <c r="L552">
        <v>551</v>
      </c>
    </row>
    <row r="553" spans="2:12" x14ac:dyDescent="0.25">
      <c r="B553" s="1">
        <v>42771</v>
      </c>
      <c r="L553">
        <v>552</v>
      </c>
    </row>
    <row r="554" spans="2:12" x14ac:dyDescent="0.25">
      <c r="B554" s="1">
        <v>42772</v>
      </c>
      <c r="L554">
        <v>553</v>
      </c>
    </row>
    <row r="555" spans="2:12" x14ac:dyDescent="0.25">
      <c r="B555" s="1">
        <v>42773</v>
      </c>
      <c r="L555">
        <v>554</v>
      </c>
    </row>
    <row r="556" spans="2:12" x14ac:dyDescent="0.25">
      <c r="B556" s="1">
        <v>42774</v>
      </c>
      <c r="L556">
        <v>555</v>
      </c>
    </row>
    <row r="557" spans="2:12" x14ac:dyDescent="0.25">
      <c r="B557" s="1">
        <v>42775</v>
      </c>
      <c r="L557">
        <v>556</v>
      </c>
    </row>
    <row r="558" spans="2:12" x14ac:dyDescent="0.25">
      <c r="B558" s="1">
        <v>42776</v>
      </c>
      <c r="L558">
        <v>557</v>
      </c>
    </row>
    <row r="559" spans="2:12" x14ac:dyDescent="0.25">
      <c r="B559" s="1">
        <v>42777</v>
      </c>
      <c r="L559">
        <v>558</v>
      </c>
    </row>
    <row r="560" spans="2:12" x14ac:dyDescent="0.25">
      <c r="B560" s="1">
        <v>42778</v>
      </c>
      <c r="L560">
        <v>559</v>
      </c>
    </row>
    <row r="561" spans="2:12" x14ac:dyDescent="0.25">
      <c r="B561" s="1">
        <v>42779</v>
      </c>
      <c r="L561">
        <v>560</v>
      </c>
    </row>
    <row r="562" spans="2:12" x14ac:dyDescent="0.25">
      <c r="B562" s="1">
        <v>42780</v>
      </c>
      <c r="L562">
        <v>561</v>
      </c>
    </row>
    <row r="563" spans="2:12" x14ac:dyDescent="0.25">
      <c r="B563" s="1">
        <v>42781</v>
      </c>
      <c r="L563">
        <v>562</v>
      </c>
    </row>
    <row r="564" spans="2:12" x14ac:dyDescent="0.25">
      <c r="B564" s="1">
        <v>42782</v>
      </c>
      <c r="L564">
        <v>563</v>
      </c>
    </row>
    <row r="565" spans="2:12" x14ac:dyDescent="0.25">
      <c r="B565" s="1">
        <v>42783</v>
      </c>
      <c r="L565">
        <v>564</v>
      </c>
    </row>
    <row r="566" spans="2:12" x14ac:dyDescent="0.25">
      <c r="B566" s="1">
        <v>42784</v>
      </c>
      <c r="L566">
        <v>565</v>
      </c>
    </row>
    <row r="567" spans="2:12" x14ac:dyDescent="0.25">
      <c r="B567" s="1">
        <v>42785</v>
      </c>
      <c r="L567">
        <v>566</v>
      </c>
    </row>
    <row r="568" spans="2:12" x14ac:dyDescent="0.25">
      <c r="B568" s="1">
        <v>42786</v>
      </c>
      <c r="L568">
        <v>567</v>
      </c>
    </row>
    <row r="569" spans="2:12" x14ac:dyDescent="0.25">
      <c r="B569" s="1">
        <v>42787</v>
      </c>
      <c r="L569">
        <v>568</v>
      </c>
    </row>
    <row r="570" spans="2:12" x14ac:dyDescent="0.25">
      <c r="B570" s="1">
        <v>42788</v>
      </c>
      <c r="L570">
        <v>569</v>
      </c>
    </row>
    <row r="571" spans="2:12" x14ac:dyDescent="0.25">
      <c r="B571" s="1">
        <v>42789</v>
      </c>
      <c r="L571">
        <v>570</v>
      </c>
    </row>
    <row r="572" spans="2:12" x14ac:dyDescent="0.25">
      <c r="B572" s="1">
        <v>42790</v>
      </c>
      <c r="L572">
        <v>571</v>
      </c>
    </row>
    <row r="573" spans="2:12" x14ac:dyDescent="0.25">
      <c r="B573" s="1">
        <v>42791</v>
      </c>
      <c r="L573">
        <v>572</v>
      </c>
    </row>
    <row r="574" spans="2:12" x14ac:dyDescent="0.25">
      <c r="B574" s="1">
        <v>42792</v>
      </c>
      <c r="L574">
        <v>573</v>
      </c>
    </row>
    <row r="575" spans="2:12" x14ac:dyDescent="0.25">
      <c r="B575" s="1">
        <v>42793</v>
      </c>
      <c r="L575">
        <v>574</v>
      </c>
    </row>
    <row r="576" spans="2:12" x14ac:dyDescent="0.25">
      <c r="B576" s="1">
        <v>42794</v>
      </c>
      <c r="L576">
        <v>575</v>
      </c>
    </row>
    <row r="577" spans="2:12" x14ac:dyDescent="0.25">
      <c r="B577" s="1">
        <v>42795</v>
      </c>
      <c r="L577">
        <v>576</v>
      </c>
    </row>
    <row r="578" spans="2:12" x14ac:dyDescent="0.25">
      <c r="B578" s="1">
        <v>42796</v>
      </c>
      <c r="L578">
        <v>577</v>
      </c>
    </row>
    <row r="579" spans="2:12" x14ac:dyDescent="0.25">
      <c r="B579" s="1">
        <v>42797</v>
      </c>
      <c r="L579">
        <v>578</v>
      </c>
    </row>
    <row r="580" spans="2:12" x14ac:dyDescent="0.25">
      <c r="B580" s="1">
        <v>42798</v>
      </c>
      <c r="L580">
        <v>579</v>
      </c>
    </row>
    <row r="581" spans="2:12" x14ac:dyDescent="0.25">
      <c r="B581" s="1">
        <v>42799</v>
      </c>
      <c r="L581">
        <v>580</v>
      </c>
    </row>
    <row r="582" spans="2:12" x14ac:dyDescent="0.25">
      <c r="B582" s="1">
        <v>42800</v>
      </c>
      <c r="L582">
        <v>581</v>
      </c>
    </row>
    <row r="583" spans="2:12" x14ac:dyDescent="0.25">
      <c r="B583" s="1">
        <v>42801</v>
      </c>
      <c r="L583">
        <v>582</v>
      </c>
    </row>
    <row r="584" spans="2:12" x14ac:dyDescent="0.25">
      <c r="B584" s="1">
        <v>42802</v>
      </c>
      <c r="L584">
        <v>583</v>
      </c>
    </row>
    <row r="585" spans="2:12" x14ac:dyDescent="0.25">
      <c r="B585" s="1">
        <v>42803</v>
      </c>
      <c r="L585">
        <v>584</v>
      </c>
    </row>
    <row r="586" spans="2:12" x14ac:dyDescent="0.25">
      <c r="B586" s="1">
        <v>42804</v>
      </c>
      <c r="L586">
        <v>585</v>
      </c>
    </row>
    <row r="587" spans="2:12" x14ac:dyDescent="0.25">
      <c r="B587" s="1">
        <v>42805</v>
      </c>
      <c r="L587">
        <v>586</v>
      </c>
    </row>
    <row r="588" spans="2:12" x14ac:dyDescent="0.25">
      <c r="B588" s="1">
        <v>42806</v>
      </c>
      <c r="L588">
        <v>587</v>
      </c>
    </row>
    <row r="589" spans="2:12" x14ac:dyDescent="0.25">
      <c r="B589" s="1">
        <v>42807</v>
      </c>
      <c r="L589">
        <v>588</v>
      </c>
    </row>
    <row r="590" spans="2:12" x14ac:dyDescent="0.25">
      <c r="B590" s="1">
        <v>42808</v>
      </c>
      <c r="L590">
        <v>589</v>
      </c>
    </row>
    <row r="591" spans="2:12" x14ac:dyDescent="0.25">
      <c r="B591" s="1">
        <v>42809</v>
      </c>
      <c r="L591">
        <v>590</v>
      </c>
    </row>
    <row r="592" spans="2:12" x14ac:dyDescent="0.25">
      <c r="B592" s="1">
        <v>42810</v>
      </c>
      <c r="L592">
        <v>591</v>
      </c>
    </row>
    <row r="593" spans="2:12" x14ac:dyDescent="0.25">
      <c r="B593" s="1">
        <v>42811</v>
      </c>
      <c r="L593">
        <v>592</v>
      </c>
    </row>
    <row r="594" spans="2:12" x14ac:dyDescent="0.25">
      <c r="B594" s="1">
        <v>42812</v>
      </c>
      <c r="L594">
        <v>593</v>
      </c>
    </row>
    <row r="595" spans="2:12" x14ac:dyDescent="0.25">
      <c r="B595" s="1">
        <v>42813</v>
      </c>
      <c r="L595">
        <v>594</v>
      </c>
    </row>
    <row r="596" spans="2:12" x14ac:dyDescent="0.25">
      <c r="B596" s="1">
        <v>42814</v>
      </c>
      <c r="L596">
        <v>595</v>
      </c>
    </row>
    <row r="597" spans="2:12" x14ac:dyDescent="0.25">
      <c r="B597" s="1">
        <v>42815</v>
      </c>
      <c r="L597">
        <v>596</v>
      </c>
    </row>
    <row r="598" spans="2:12" x14ac:dyDescent="0.25">
      <c r="B598" s="1">
        <v>42816</v>
      </c>
      <c r="L598">
        <v>597</v>
      </c>
    </row>
    <row r="599" spans="2:12" x14ac:dyDescent="0.25">
      <c r="B599" s="1">
        <v>42817</v>
      </c>
      <c r="L599">
        <v>598</v>
      </c>
    </row>
    <row r="600" spans="2:12" x14ac:dyDescent="0.25">
      <c r="B600" s="1">
        <v>42818</v>
      </c>
      <c r="L600">
        <v>599</v>
      </c>
    </row>
    <row r="601" spans="2:12" x14ac:dyDescent="0.25">
      <c r="B601" s="1">
        <v>42819</v>
      </c>
      <c r="L601">
        <v>600</v>
      </c>
    </row>
    <row r="602" spans="2:12" x14ac:dyDescent="0.25">
      <c r="B602" s="1">
        <v>42820</v>
      </c>
      <c r="L602">
        <v>601</v>
      </c>
    </row>
    <row r="603" spans="2:12" x14ac:dyDescent="0.25">
      <c r="B603" s="1">
        <v>42821</v>
      </c>
      <c r="L603">
        <v>602</v>
      </c>
    </row>
    <row r="604" spans="2:12" x14ac:dyDescent="0.25">
      <c r="B604" s="1">
        <v>42822</v>
      </c>
      <c r="L604">
        <v>603</v>
      </c>
    </row>
    <row r="605" spans="2:12" x14ac:dyDescent="0.25">
      <c r="B605" s="1">
        <v>42823</v>
      </c>
      <c r="L605">
        <v>604</v>
      </c>
    </row>
    <row r="606" spans="2:12" x14ac:dyDescent="0.25">
      <c r="B606" s="1">
        <v>42824</v>
      </c>
      <c r="L606">
        <v>605</v>
      </c>
    </row>
    <row r="607" spans="2:12" x14ac:dyDescent="0.25">
      <c r="B607" s="1">
        <v>42825</v>
      </c>
      <c r="L607">
        <v>606</v>
      </c>
    </row>
    <row r="608" spans="2:12" x14ac:dyDescent="0.25">
      <c r="B608" s="1">
        <v>42826</v>
      </c>
      <c r="L608">
        <v>607</v>
      </c>
    </row>
    <row r="609" spans="2:12" x14ac:dyDescent="0.25">
      <c r="B609" s="1">
        <v>42827</v>
      </c>
      <c r="L609">
        <v>608</v>
      </c>
    </row>
    <row r="610" spans="2:12" x14ac:dyDescent="0.25">
      <c r="B610" s="1">
        <v>42828</v>
      </c>
      <c r="L610">
        <v>609</v>
      </c>
    </row>
    <row r="611" spans="2:12" x14ac:dyDescent="0.25">
      <c r="B611" s="1">
        <v>42829</v>
      </c>
      <c r="L611">
        <v>610</v>
      </c>
    </row>
    <row r="612" spans="2:12" x14ac:dyDescent="0.25">
      <c r="B612" s="1">
        <v>42830</v>
      </c>
      <c r="L612">
        <v>611</v>
      </c>
    </row>
    <row r="613" spans="2:12" x14ac:dyDescent="0.25">
      <c r="B613" s="1">
        <v>42831</v>
      </c>
      <c r="L613">
        <v>612</v>
      </c>
    </row>
    <row r="614" spans="2:12" x14ac:dyDescent="0.25">
      <c r="B614" s="1">
        <v>42832</v>
      </c>
      <c r="L614">
        <v>613</v>
      </c>
    </row>
    <row r="615" spans="2:12" x14ac:dyDescent="0.25">
      <c r="B615" s="1">
        <v>42833</v>
      </c>
      <c r="L615">
        <v>614</v>
      </c>
    </row>
    <row r="616" spans="2:12" x14ac:dyDescent="0.25">
      <c r="B616" s="1">
        <v>42834</v>
      </c>
      <c r="L616">
        <v>615</v>
      </c>
    </row>
    <row r="617" spans="2:12" x14ac:dyDescent="0.25">
      <c r="B617" s="1">
        <v>42835</v>
      </c>
      <c r="L617">
        <v>616</v>
      </c>
    </row>
    <row r="618" spans="2:12" x14ac:dyDescent="0.25">
      <c r="B618" s="1">
        <v>42836</v>
      </c>
      <c r="L618">
        <v>617</v>
      </c>
    </row>
    <row r="619" spans="2:12" x14ac:dyDescent="0.25">
      <c r="B619" s="1">
        <v>42837</v>
      </c>
      <c r="L619">
        <v>618</v>
      </c>
    </row>
    <row r="620" spans="2:12" x14ac:dyDescent="0.25">
      <c r="B620" s="1">
        <v>42838</v>
      </c>
      <c r="L620">
        <v>619</v>
      </c>
    </row>
    <row r="621" spans="2:12" x14ac:dyDescent="0.25">
      <c r="B621" s="1">
        <v>42839</v>
      </c>
      <c r="L621">
        <v>620</v>
      </c>
    </row>
    <row r="622" spans="2:12" x14ac:dyDescent="0.25">
      <c r="B622" s="1">
        <v>42840</v>
      </c>
      <c r="L622">
        <v>621</v>
      </c>
    </row>
    <row r="623" spans="2:12" x14ac:dyDescent="0.25">
      <c r="B623" s="1">
        <v>42841</v>
      </c>
      <c r="L623">
        <v>622</v>
      </c>
    </row>
    <row r="624" spans="2:12" x14ac:dyDescent="0.25">
      <c r="B624" s="1">
        <v>42842</v>
      </c>
      <c r="L624">
        <v>623</v>
      </c>
    </row>
    <row r="625" spans="2:12" x14ac:dyDescent="0.25">
      <c r="B625" s="1">
        <v>42843</v>
      </c>
      <c r="L625">
        <v>624</v>
      </c>
    </row>
    <row r="626" spans="2:12" x14ac:dyDescent="0.25">
      <c r="B626" s="1">
        <v>42844</v>
      </c>
      <c r="L626">
        <v>625</v>
      </c>
    </row>
    <row r="627" spans="2:12" x14ac:dyDescent="0.25">
      <c r="B627" s="1">
        <v>42845</v>
      </c>
      <c r="L627">
        <v>626</v>
      </c>
    </row>
    <row r="628" spans="2:12" x14ac:dyDescent="0.25">
      <c r="B628" s="1">
        <v>42846</v>
      </c>
      <c r="L628">
        <v>627</v>
      </c>
    </row>
    <row r="629" spans="2:12" x14ac:dyDescent="0.25">
      <c r="B629" s="1">
        <v>42847</v>
      </c>
      <c r="L629">
        <v>628</v>
      </c>
    </row>
    <row r="630" spans="2:12" x14ac:dyDescent="0.25">
      <c r="B630" s="1">
        <v>42848</v>
      </c>
      <c r="L630">
        <v>629</v>
      </c>
    </row>
    <row r="631" spans="2:12" x14ac:dyDescent="0.25">
      <c r="B631" s="1">
        <v>42849</v>
      </c>
      <c r="L631">
        <v>630</v>
      </c>
    </row>
    <row r="632" spans="2:12" x14ac:dyDescent="0.25">
      <c r="B632" s="1">
        <v>42850</v>
      </c>
      <c r="L632">
        <v>631</v>
      </c>
    </row>
    <row r="633" spans="2:12" x14ac:dyDescent="0.25">
      <c r="B633" s="1">
        <v>42851</v>
      </c>
      <c r="L633">
        <v>632</v>
      </c>
    </row>
    <row r="634" spans="2:12" x14ac:dyDescent="0.25">
      <c r="B634" s="1">
        <v>42852</v>
      </c>
      <c r="L634">
        <v>633</v>
      </c>
    </row>
    <row r="635" spans="2:12" x14ac:dyDescent="0.25">
      <c r="B635" s="1">
        <v>42853</v>
      </c>
      <c r="L635">
        <v>634</v>
      </c>
    </row>
    <row r="636" spans="2:12" x14ac:dyDescent="0.25">
      <c r="B636" s="1">
        <v>42854</v>
      </c>
      <c r="L636">
        <v>635</v>
      </c>
    </row>
    <row r="637" spans="2:12" x14ac:dyDescent="0.25">
      <c r="B637" s="1">
        <v>42855</v>
      </c>
      <c r="L637">
        <v>636</v>
      </c>
    </row>
    <row r="638" spans="2:12" x14ac:dyDescent="0.25">
      <c r="B638" s="1">
        <v>42856</v>
      </c>
      <c r="L638">
        <v>637</v>
      </c>
    </row>
    <row r="639" spans="2:12" x14ac:dyDescent="0.25">
      <c r="B639" s="1">
        <v>42857</v>
      </c>
      <c r="L639">
        <v>638</v>
      </c>
    </row>
    <row r="640" spans="2:12" x14ac:dyDescent="0.25">
      <c r="B640" s="1">
        <v>42858</v>
      </c>
      <c r="L640">
        <v>639</v>
      </c>
    </row>
    <row r="641" spans="2:12" x14ac:dyDescent="0.25">
      <c r="B641" s="1">
        <v>42859</v>
      </c>
      <c r="L641">
        <v>640</v>
      </c>
    </row>
    <row r="642" spans="2:12" x14ac:dyDescent="0.25">
      <c r="B642" s="1">
        <v>42860</v>
      </c>
      <c r="L642">
        <v>641</v>
      </c>
    </row>
    <row r="643" spans="2:12" x14ac:dyDescent="0.25">
      <c r="B643" s="1">
        <v>42861</v>
      </c>
      <c r="L643">
        <v>642</v>
      </c>
    </row>
    <row r="644" spans="2:12" x14ac:dyDescent="0.25">
      <c r="B644" s="1">
        <v>42862</v>
      </c>
      <c r="L644">
        <v>643</v>
      </c>
    </row>
    <row r="645" spans="2:12" x14ac:dyDescent="0.25">
      <c r="B645" s="1">
        <v>42863</v>
      </c>
      <c r="L645">
        <v>644</v>
      </c>
    </row>
    <row r="646" spans="2:12" x14ac:dyDescent="0.25">
      <c r="B646" s="1">
        <v>42864</v>
      </c>
      <c r="L646">
        <v>645</v>
      </c>
    </row>
    <row r="647" spans="2:12" x14ac:dyDescent="0.25">
      <c r="B647" s="1">
        <v>42865</v>
      </c>
      <c r="L647">
        <v>646</v>
      </c>
    </row>
    <row r="648" spans="2:12" x14ac:dyDescent="0.25">
      <c r="B648" s="1">
        <v>42866</v>
      </c>
      <c r="L648">
        <v>647</v>
      </c>
    </row>
    <row r="649" spans="2:12" x14ac:dyDescent="0.25">
      <c r="B649" s="1">
        <v>42867</v>
      </c>
      <c r="L649">
        <v>648</v>
      </c>
    </row>
    <row r="650" spans="2:12" x14ac:dyDescent="0.25">
      <c r="B650" s="1">
        <v>42868</v>
      </c>
      <c r="L650">
        <v>649</v>
      </c>
    </row>
    <row r="651" spans="2:12" x14ac:dyDescent="0.25">
      <c r="B651" s="1">
        <v>42869</v>
      </c>
      <c r="L651">
        <v>650</v>
      </c>
    </row>
    <row r="652" spans="2:12" x14ac:dyDescent="0.25">
      <c r="B652" s="1">
        <v>42870</v>
      </c>
      <c r="L652">
        <v>651</v>
      </c>
    </row>
    <row r="653" spans="2:12" x14ac:dyDescent="0.25">
      <c r="B653" s="1">
        <v>42871</v>
      </c>
      <c r="L653">
        <v>652</v>
      </c>
    </row>
    <row r="654" spans="2:12" x14ac:dyDescent="0.25">
      <c r="B654" s="1">
        <v>42872</v>
      </c>
      <c r="L654">
        <v>653</v>
      </c>
    </row>
    <row r="655" spans="2:12" x14ac:dyDescent="0.25">
      <c r="B655" s="1">
        <v>42873</v>
      </c>
      <c r="L655">
        <v>654</v>
      </c>
    </row>
    <row r="656" spans="2:12" x14ac:dyDescent="0.25">
      <c r="B656" s="1">
        <v>42874</v>
      </c>
      <c r="L656">
        <v>655</v>
      </c>
    </row>
    <row r="657" spans="2:12" x14ac:dyDescent="0.25">
      <c r="B657" s="1">
        <v>42875</v>
      </c>
      <c r="L657">
        <v>656</v>
      </c>
    </row>
    <row r="658" spans="2:12" x14ac:dyDescent="0.25">
      <c r="B658" s="1">
        <v>42876</v>
      </c>
      <c r="L658">
        <v>657</v>
      </c>
    </row>
    <row r="659" spans="2:12" x14ac:dyDescent="0.25">
      <c r="B659" s="1">
        <v>42877</v>
      </c>
      <c r="L659">
        <v>658</v>
      </c>
    </row>
    <row r="660" spans="2:12" x14ac:dyDescent="0.25">
      <c r="B660" s="1">
        <v>42878</v>
      </c>
      <c r="L660">
        <v>659</v>
      </c>
    </row>
    <row r="661" spans="2:12" x14ac:dyDescent="0.25">
      <c r="B661" s="1">
        <v>42879</v>
      </c>
      <c r="L661">
        <v>660</v>
      </c>
    </row>
    <row r="662" spans="2:12" x14ac:dyDescent="0.25">
      <c r="B662" s="1">
        <v>42880</v>
      </c>
      <c r="L662">
        <v>661</v>
      </c>
    </row>
    <row r="663" spans="2:12" x14ac:dyDescent="0.25">
      <c r="B663" s="1">
        <v>42881</v>
      </c>
      <c r="L663">
        <v>662</v>
      </c>
    </row>
    <row r="664" spans="2:12" x14ac:dyDescent="0.25">
      <c r="B664" s="1">
        <v>42882</v>
      </c>
      <c r="L664">
        <v>663</v>
      </c>
    </row>
    <row r="665" spans="2:12" x14ac:dyDescent="0.25">
      <c r="B665" s="1">
        <v>42883</v>
      </c>
      <c r="L665">
        <v>664</v>
      </c>
    </row>
    <row r="666" spans="2:12" x14ac:dyDescent="0.25">
      <c r="B666" s="1">
        <v>42884</v>
      </c>
      <c r="L666">
        <v>665</v>
      </c>
    </row>
    <row r="667" spans="2:12" x14ac:dyDescent="0.25">
      <c r="B667" s="1">
        <v>42885</v>
      </c>
      <c r="L667">
        <v>666</v>
      </c>
    </row>
    <row r="668" spans="2:12" x14ac:dyDescent="0.25">
      <c r="B668" s="1">
        <v>42886</v>
      </c>
      <c r="L668">
        <v>667</v>
      </c>
    </row>
    <row r="669" spans="2:12" x14ac:dyDescent="0.25">
      <c r="B669" s="1">
        <v>42887</v>
      </c>
      <c r="L669">
        <v>668</v>
      </c>
    </row>
    <row r="670" spans="2:12" x14ac:dyDescent="0.25">
      <c r="B670" s="1">
        <v>42888</v>
      </c>
      <c r="L670">
        <v>669</v>
      </c>
    </row>
    <row r="671" spans="2:12" x14ac:dyDescent="0.25">
      <c r="B671" s="1">
        <v>42889</v>
      </c>
      <c r="L671">
        <v>670</v>
      </c>
    </row>
    <row r="672" spans="2:12" x14ac:dyDescent="0.25">
      <c r="B672" s="1">
        <v>42890</v>
      </c>
      <c r="L672">
        <v>671</v>
      </c>
    </row>
    <row r="673" spans="2:12" x14ac:dyDescent="0.25">
      <c r="B673" s="1">
        <v>42891</v>
      </c>
      <c r="L673">
        <v>672</v>
      </c>
    </row>
    <row r="674" spans="2:12" x14ac:dyDescent="0.25">
      <c r="B674" s="1">
        <v>42892</v>
      </c>
      <c r="L674">
        <v>673</v>
      </c>
    </row>
    <row r="675" spans="2:12" x14ac:dyDescent="0.25">
      <c r="B675" s="1">
        <v>42893</v>
      </c>
      <c r="L675">
        <v>674</v>
      </c>
    </row>
    <row r="676" spans="2:12" x14ac:dyDescent="0.25">
      <c r="B676" s="1">
        <v>42894</v>
      </c>
      <c r="L676">
        <v>675</v>
      </c>
    </row>
    <row r="677" spans="2:12" x14ac:dyDescent="0.25">
      <c r="B677" s="1">
        <v>42895</v>
      </c>
      <c r="L677">
        <v>676</v>
      </c>
    </row>
    <row r="678" spans="2:12" x14ac:dyDescent="0.25">
      <c r="B678" s="1">
        <v>42896</v>
      </c>
      <c r="L678">
        <v>677</v>
      </c>
    </row>
    <row r="679" spans="2:12" x14ac:dyDescent="0.25">
      <c r="B679" s="1">
        <v>42897</v>
      </c>
      <c r="L679">
        <v>678</v>
      </c>
    </row>
    <row r="680" spans="2:12" x14ac:dyDescent="0.25">
      <c r="B680" s="1">
        <v>42898</v>
      </c>
      <c r="L680">
        <v>679</v>
      </c>
    </row>
    <row r="681" spans="2:12" x14ac:dyDescent="0.25">
      <c r="B681" s="1">
        <v>42899</v>
      </c>
      <c r="L681">
        <v>680</v>
      </c>
    </row>
    <row r="682" spans="2:12" x14ac:dyDescent="0.25">
      <c r="B682" s="1">
        <v>42900</v>
      </c>
      <c r="L682">
        <v>681</v>
      </c>
    </row>
    <row r="683" spans="2:12" x14ac:dyDescent="0.25">
      <c r="B683" s="1">
        <v>42901</v>
      </c>
      <c r="L683">
        <v>682</v>
      </c>
    </row>
    <row r="684" spans="2:12" x14ac:dyDescent="0.25">
      <c r="B684" s="1">
        <v>42902</v>
      </c>
      <c r="L684">
        <v>683</v>
      </c>
    </row>
    <row r="685" spans="2:12" x14ac:dyDescent="0.25">
      <c r="B685" s="1">
        <v>42903</v>
      </c>
      <c r="L685">
        <v>684</v>
      </c>
    </row>
    <row r="686" spans="2:12" x14ac:dyDescent="0.25">
      <c r="B686" s="1">
        <v>42904</v>
      </c>
      <c r="L686">
        <v>685</v>
      </c>
    </row>
    <row r="687" spans="2:12" x14ac:dyDescent="0.25">
      <c r="B687" s="1">
        <v>42905</v>
      </c>
      <c r="L687">
        <v>686</v>
      </c>
    </row>
    <row r="688" spans="2:12" x14ac:dyDescent="0.25">
      <c r="B688" s="1">
        <v>42906</v>
      </c>
      <c r="L688">
        <v>687</v>
      </c>
    </row>
    <row r="689" spans="2:12" x14ac:dyDescent="0.25">
      <c r="B689" s="1">
        <v>42907</v>
      </c>
      <c r="L689">
        <v>688</v>
      </c>
    </row>
    <row r="690" spans="2:12" x14ac:dyDescent="0.25">
      <c r="B690" s="1">
        <v>42908</v>
      </c>
      <c r="L690">
        <v>689</v>
      </c>
    </row>
    <row r="691" spans="2:12" x14ac:dyDescent="0.25">
      <c r="B691" s="1">
        <v>42909</v>
      </c>
      <c r="L691">
        <v>690</v>
      </c>
    </row>
    <row r="692" spans="2:12" x14ac:dyDescent="0.25">
      <c r="B692" s="1">
        <v>42910</v>
      </c>
      <c r="L692">
        <v>691</v>
      </c>
    </row>
    <row r="693" spans="2:12" x14ac:dyDescent="0.25">
      <c r="B693" s="1">
        <v>42911</v>
      </c>
      <c r="L693">
        <v>692</v>
      </c>
    </row>
    <row r="694" spans="2:12" x14ac:dyDescent="0.25">
      <c r="B694" s="1">
        <v>42912</v>
      </c>
      <c r="L694">
        <v>693</v>
      </c>
    </row>
    <row r="695" spans="2:12" x14ac:dyDescent="0.25">
      <c r="B695" s="1">
        <v>42913</v>
      </c>
      <c r="L695">
        <v>694</v>
      </c>
    </row>
    <row r="696" spans="2:12" x14ac:dyDescent="0.25">
      <c r="B696" s="1">
        <v>42914</v>
      </c>
      <c r="L696">
        <v>695</v>
      </c>
    </row>
    <row r="697" spans="2:12" x14ac:dyDescent="0.25">
      <c r="B697" s="1">
        <v>42915</v>
      </c>
      <c r="L697">
        <v>696</v>
      </c>
    </row>
    <row r="698" spans="2:12" x14ac:dyDescent="0.25">
      <c r="B698" s="1">
        <v>42916</v>
      </c>
      <c r="L698">
        <v>697</v>
      </c>
    </row>
    <row r="699" spans="2:12" x14ac:dyDescent="0.25">
      <c r="B699" s="1">
        <v>42917</v>
      </c>
      <c r="L699">
        <v>698</v>
      </c>
    </row>
    <row r="700" spans="2:12" x14ac:dyDescent="0.25">
      <c r="B700" s="1">
        <v>42918</v>
      </c>
      <c r="L700">
        <v>699</v>
      </c>
    </row>
    <row r="701" spans="2:12" x14ac:dyDescent="0.25">
      <c r="B701" s="1">
        <v>42919</v>
      </c>
      <c r="L701">
        <v>700</v>
      </c>
    </row>
    <row r="702" spans="2:12" x14ac:dyDescent="0.25">
      <c r="B702" s="1">
        <v>42920</v>
      </c>
      <c r="L702">
        <v>701</v>
      </c>
    </row>
    <row r="703" spans="2:12" x14ac:dyDescent="0.25">
      <c r="B703" s="1">
        <v>42921</v>
      </c>
      <c r="L703">
        <v>702</v>
      </c>
    </row>
    <row r="704" spans="2:12" x14ac:dyDescent="0.25">
      <c r="B704" s="1">
        <v>42922</v>
      </c>
      <c r="L704">
        <v>703</v>
      </c>
    </row>
    <row r="705" spans="2:12" x14ac:dyDescent="0.25">
      <c r="B705" s="1">
        <v>42923</v>
      </c>
      <c r="L705">
        <v>704</v>
      </c>
    </row>
    <row r="706" spans="2:12" x14ac:dyDescent="0.25">
      <c r="B706" s="1">
        <v>42924</v>
      </c>
      <c r="L706">
        <v>705</v>
      </c>
    </row>
    <row r="707" spans="2:12" x14ac:dyDescent="0.25">
      <c r="B707" s="1">
        <v>42925</v>
      </c>
      <c r="L707">
        <v>706</v>
      </c>
    </row>
    <row r="708" spans="2:12" x14ac:dyDescent="0.25">
      <c r="B708" s="1">
        <v>42926</v>
      </c>
      <c r="L708">
        <v>707</v>
      </c>
    </row>
    <row r="709" spans="2:12" x14ac:dyDescent="0.25">
      <c r="B709" s="1">
        <v>42927</v>
      </c>
      <c r="L709">
        <v>708</v>
      </c>
    </row>
    <row r="710" spans="2:12" x14ac:dyDescent="0.25">
      <c r="B710" s="1">
        <v>42928</v>
      </c>
      <c r="L710">
        <v>709</v>
      </c>
    </row>
    <row r="711" spans="2:12" x14ac:dyDescent="0.25">
      <c r="B711" s="1">
        <v>42929</v>
      </c>
      <c r="L711">
        <v>710</v>
      </c>
    </row>
    <row r="712" spans="2:12" x14ac:dyDescent="0.25">
      <c r="B712" s="1">
        <v>42930</v>
      </c>
      <c r="L712">
        <v>711</v>
      </c>
    </row>
    <row r="713" spans="2:12" x14ac:dyDescent="0.25">
      <c r="B713" s="1">
        <v>42931</v>
      </c>
      <c r="L713">
        <v>712</v>
      </c>
    </row>
    <row r="714" spans="2:12" x14ac:dyDescent="0.25">
      <c r="B714" s="1">
        <v>42932</v>
      </c>
      <c r="L714">
        <v>713</v>
      </c>
    </row>
    <row r="715" spans="2:12" x14ac:dyDescent="0.25">
      <c r="B715" s="1">
        <v>42933</v>
      </c>
      <c r="L715">
        <v>714</v>
      </c>
    </row>
    <row r="716" spans="2:12" x14ac:dyDescent="0.25">
      <c r="B716" s="1">
        <v>42934</v>
      </c>
      <c r="L716">
        <v>715</v>
      </c>
    </row>
    <row r="717" spans="2:12" x14ac:dyDescent="0.25">
      <c r="B717" s="1">
        <v>42935</v>
      </c>
      <c r="L717">
        <v>716</v>
      </c>
    </row>
    <row r="718" spans="2:12" x14ac:dyDescent="0.25">
      <c r="B718" s="1">
        <v>42936</v>
      </c>
      <c r="L718">
        <v>717</v>
      </c>
    </row>
    <row r="719" spans="2:12" x14ac:dyDescent="0.25">
      <c r="B719" s="1">
        <v>42937</v>
      </c>
      <c r="L719">
        <v>718</v>
      </c>
    </row>
    <row r="720" spans="2:12" x14ac:dyDescent="0.25">
      <c r="B720" s="1">
        <v>42938</v>
      </c>
      <c r="L720">
        <v>719</v>
      </c>
    </row>
    <row r="721" spans="2:12" x14ac:dyDescent="0.25">
      <c r="B721" s="1">
        <v>42939</v>
      </c>
      <c r="L721">
        <v>720</v>
      </c>
    </row>
    <row r="722" spans="2:12" x14ac:dyDescent="0.25">
      <c r="B722" s="1">
        <v>42940</v>
      </c>
    </row>
    <row r="723" spans="2:12" x14ac:dyDescent="0.25">
      <c r="B723" s="1">
        <v>42941</v>
      </c>
    </row>
    <row r="724" spans="2:12" x14ac:dyDescent="0.25">
      <c r="B724" s="1">
        <v>42942</v>
      </c>
    </row>
    <row r="725" spans="2:12" x14ac:dyDescent="0.25">
      <c r="B725" s="1">
        <v>42943</v>
      </c>
    </row>
    <row r="726" spans="2:12" x14ac:dyDescent="0.25">
      <c r="B726" s="1">
        <v>42944</v>
      </c>
    </row>
    <row r="727" spans="2:12" x14ac:dyDescent="0.25">
      <c r="B727" s="1">
        <v>42945</v>
      </c>
    </row>
    <row r="728" spans="2:12" x14ac:dyDescent="0.25">
      <c r="B728" s="1">
        <v>42946</v>
      </c>
    </row>
    <row r="729" spans="2:12" x14ac:dyDescent="0.25">
      <c r="B729" s="1">
        <v>42947</v>
      </c>
    </row>
    <row r="730" spans="2:12" x14ac:dyDescent="0.25">
      <c r="B730" s="1">
        <v>42948</v>
      </c>
    </row>
    <row r="731" spans="2:12" x14ac:dyDescent="0.25">
      <c r="B731" s="1">
        <v>42949</v>
      </c>
    </row>
    <row r="732" spans="2:12" x14ac:dyDescent="0.25">
      <c r="B732" s="1">
        <v>42950</v>
      </c>
    </row>
    <row r="733" spans="2:12" x14ac:dyDescent="0.25">
      <c r="B733" s="1">
        <v>42951</v>
      </c>
    </row>
    <row r="734" spans="2:12" x14ac:dyDescent="0.25">
      <c r="B734" s="1">
        <v>42952</v>
      </c>
    </row>
    <row r="735" spans="2:12" x14ac:dyDescent="0.25">
      <c r="B735" s="1">
        <v>42953</v>
      </c>
    </row>
    <row r="736" spans="2:12" x14ac:dyDescent="0.25">
      <c r="B736" s="1">
        <v>42954</v>
      </c>
    </row>
    <row r="737" spans="2:2" x14ac:dyDescent="0.25">
      <c r="B737" s="1">
        <v>42955</v>
      </c>
    </row>
    <row r="738" spans="2:2" x14ac:dyDescent="0.25">
      <c r="B738" s="1">
        <v>42956</v>
      </c>
    </row>
    <row r="739" spans="2:2" x14ac:dyDescent="0.25">
      <c r="B739" s="1">
        <v>42957</v>
      </c>
    </row>
    <row r="740" spans="2:2" x14ac:dyDescent="0.25">
      <c r="B740" s="1">
        <v>42958</v>
      </c>
    </row>
    <row r="741" spans="2:2" x14ac:dyDescent="0.25">
      <c r="B741" s="1">
        <v>42959</v>
      </c>
    </row>
    <row r="742" spans="2:2" x14ac:dyDescent="0.25">
      <c r="B742" s="1">
        <v>42960</v>
      </c>
    </row>
    <row r="743" spans="2:2" x14ac:dyDescent="0.25">
      <c r="B743" s="1">
        <v>42961</v>
      </c>
    </row>
    <row r="744" spans="2:2" x14ac:dyDescent="0.25">
      <c r="B744" s="1">
        <v>42962</v>
      </c>
    </row>
    <row r="745" spans="2:2" x14ac:dyDescent="0.25">
      <c r="B745" s="1">
        <v>42963</v>
      </c>
    </row>
    <row r="746" spans="2:2" x14ac:dyDescent="0.25">
      <c r="B746" s="1">
        <v>42964</v>
      </c>
    </row>
    <row r="747" spans="2:2" x14ac:dyDescent="0.25">
      <c r="B747" s="1">
        <v>42965</v>
      </c>
    </row>
    <row r="748" spans="2:2" x14ac:dyDescent="0.25">
      <c r="B748" s="1">
        <v>42966</v>
      </c>
    </row>
    <row r="749" spans="2:2" x14ac:dyDescent="0.25">
      <c r="B749" s="1">
        <v>42967</v>
      </c>
    </row>
    <row r="750" spans="2:2" x14ac:dyDescent="0.25">
      <c r="B750" s="1">
        <v>42968</v>
      </c>
    </row>
    <row r="751" spans="2:2" x14ac:dyDescent="0.25">
      <c r="B751" s="1">
        <v>42969</v>
      </c>
    </row>
    <row r="752" spans="2:2" x14ac:dyDescent="0.25">
      <c r="B752" s="1">
        <v>42970</v>
      </c>
    </row>
    <row r="753" spans="2:2" x14ac:dyDescent="0.25">
      <c r="B753" s="1">
        <v>42971</v>
      </c>
    </row>
    <row r="754" spans="2:2" x14ac:dyDescent="0.25">
      <c r="B754" s="1">
        <v>42972</v>
      </c>
    </row>
    <row r="755" spans="2:2" x14ac:dyDescent="0.25">
      <c r="B755" s="1">
        <v>42973</v>
      </c>
    </row>
    <row r="756" spans="2:2" x14ac:dyDescent="0.25">
      <c r="B756" s="1">
        <v>42974</v>
      </c>
    </row>
    <row r="757" spans="2:2" x14ac:dyDescent="0.25">
      <c r="B757" s="1">
        <v>42975</v>
      </c>
    </row>
    <row r="758" spans="2:2" x14ac:dyDescent="0.25">
      <c r="B758" s="1">
        <v>42976</v>
      </c>
    </row>
    <row r="759" spans="2:2" x14ac:dyDescent="0.25">
      <c r="B759" s="1">
        <v>42977</v>
      </c>
    </row>
    <row r="760" spans="2:2" x14ac:dyDescent="0.25">
      <c r="B760" s="1">
        <v>42978</v>
      </c>
    </row>
    <row r="761" spans="2:2" x14ac:dyDescent="0.25">
      <c r="B761" s="1">
        <v>42979</v>
      </c>
    </row>
    <row r="762" spans="2:2" x14ac:dyDescent="0.25">
      <c r="B762" s="1">
        <v>42980</v>
      </c>
    </row>
    <row r="763" spans="2:2" x14ac:dyDescent="0.25">
      <c r="B763" s="1">
        <v>42981</v>
      </c>
    </row>
    <row r="764" spans="2:2" x14ac:dyDescent="0.25">
      <c r="B764" s="1">
        <v>42982</v>
      </c>
    </row>
    <row r="765" spans="2:2" x14ac:dyDescent="0.25">
      <c r="B765" s="1">
        <v>42983</v>
      </c>
    </row>
    <row r="766" spans="2:2" x14ac:dyDescent="0.25">
      <c r="B766" s="1">
        <v>42984</v>
      </c>
    </row>
    <row r="767" spans="2:2" x14ac:dyDescent="0.25">
      <c r="B767" s="1">
        <v>42985</v>
      </c>
    </row>
    <row r="768" spans="2:2" x14ac:dyDescent="0.25">
      <c r="B768" s="1">
        <v>42986</v>
      </c>
    </row>
    <row r="769" spans="2:2" x14ac:dyDescent="0.25">
      <c r="B769" s="1">
        <v>42987</v>
      </c>
    </row>
    <row r="770" spans="2:2" x14ac:dyDescent="0.25">
      <c r="B770" s="1">
        <v>42988</v>
      </c>
    </row>
    <row r="771" spans="2:2" x14ac:dyDescent="0.25">
      <c r="B771" s="1">
        <v>42989</v>
      </c>
    </row>
    <row r="772" spans="2:2" x14ac:dyDescent="0.25">
      <c r="B772" s="1">
        <v>42990</v>
      </c>
    </row>
    <row r="773" spans="2:2" x14ac:dyDescent="0.25">
      <c r="B773" s="1">
        <v>42991</v>
      </c>
    </row>
    <row r="774" spans="2:2" x14ac:dyDescent="0.25">
      <c r="B774" s="1">
        <v>42992</v>
      </c>
    </row>
    <row r="775" spans="2:2" x14ac:dyDescent="0.25">
      <c r="B775" s="1">
        <v>42993</v>
      </c>
    </row>
    <row r="776" spans="2:2" x14ac:dyDescent="0.25">
      <c r="B776" s="1">
        <v>42994</v>
      </c>
    </row>
    <row r="777" spans="2:2" x14ac:dyDescent="0.25">
      <c r="B777" s="1">
        <v>42995</v>
      </c>
    </row>
    <row r="778" spans="2:2" x14ac:dyDescent="0.25">
      <c r="B778" s="1">
        <v>42996</v>
      </c>
    </row>
    <row r="779" spans="2:2" x14ac:dyDescent="0.25">
      <c r="B779" s="1">
        <v>42997</v>
      </c>
    </row>
    <row r="780" spans="2:2" x14ac:dyDescent="0.25">
      <c r="B780" s="1">
        <v>42998</v>
      </c>
    </row>
    <row r="781" spans="2:2" x14ac:dyDescent="0.25">
      <c r="B781" s="1">
        <v>42999</v>
      </c>
    </row>
    <row r="782" spans="2:2" x14ac:dyDescent="0.25">
      <c r="B782" s="1">
        <v>43000</v>
      </c>
    </row>
    <row r="783" spans="2:2" x14ac:dyDescent="0.25">
      <c r="B783" s="1">
        <v>43001</v>
      </c>
    </row>
    <row r="784" spans="2:2" x14ac:dyDescent="0.25">
      <c r="B784" s="1">
        <v>43002</v>
      </c>
    </row>
    <row r="785" spans="2:2" x14ac:dyDescent="0.25">
      <c r="B785" s="1">
        <v>43003</v>
      </c>
    </row>
    <row r="786" spans="2:2" x14ac:dyDescent="0.25">
      <c r="B786" s="1">
        <v>43004</v>
      </c>
    </row>
    <row r="787" spans="2:2" x14ac:dyDescent="0.25">
      <c r="B787" s="1">
        <v>43005</v>
      </c>
    </row>
    <row r="788" spans="2:2" x14ac:dyDescent="0.25">
      <c r="B788" s="1">
        <v>43006</v>
      </c>
    </row>
    <row r="789" spans="2:2" x14ac:dyDescent="0.25">
      <c r="B789" s="1">
        <v>43007</v>
      </c>
    </row>
    <row r="790" spans="2:2" x14ac:dyDescent="0.25">
      <c r="B790" s="1">
        <v>43008</v>
      </c>
    </row>
    <row r="791" spans="2:2" x14ac:dyDescent="0.25">
      <c r="B791" s="1">
        <v>43009</v>
      </c>
    </row>
    <row r="792" spans="2:2" x14ac:dyDescent="0.25">
      <c r="B792" s="1">
        <v>43010</v>
      </c>
    </row>
    <row r="793" spans="2:2" x14ac:dyDescent="0.25">
      <c r="B793" s="1">
        <v>43011</v>
      </c>
    </row>
    <row r="794" spans="2:2" x14ac:dyDescent="0.25">
      <c r="B794" s="1">
        <v>43012</v>
      </c>
    </row>
    <row r="795" spans="2:2" x14ac:dyDescent="0.25">
      <c r="B795" s="1">
        <v>43013</v>
      </c>
    </row>
    <row r="796" spans="2:2" x14ac:dyDescent="0.25">
      <c r="B796" s="1">
        <v>43014</v>
      </c>
    </row>
    <row r="797" spans="2:2" x14ac:dyDescent="0.25">
      <c r="B797" s="1">
        <v>43015</v>
      </c>
    </row>
    <row r="798" spans="2:2" x14ac:dyDescent="0.25">
      <c r="B798" s="1">
        <v>43016</v>
      </c>
    </row>
    <row r="799" spans="2:2" x14ac:dyDescent="0.25">
      <c r="B799" s="1">
        <v>43017</v>
      </c>
    </row>
    <row r="800" spans="2:2" x14ac:dyDescent="0.25">
      <c r="B800" s="1">
        <v>43018</v>
      </c>
    </row>
    <row r="801" spans="2:2" x14ac:dyDescent="0.25">
      <c r="B801" s="1">
        <v>43019</v>
      </c>
    </row>
    <row r="802" spans="2:2" x14ac:dyDescent="0.25">
      <c r="B802" s="1">
        <v>43020</v>
      </c>
    </row>
    <row r="803" spans="2:2" x14ac:dyDescent="0.25">
      <c r="B803" s="1">
        <v>43021</v>
      </c>
    </row>
    <row r="804" spans="2:2" x14ac:dyDescent="0.25">
      <c r="B804" s="1">
        <v>43022</v>
      </c>
    </row>
    <row r="805" spans="2:2" x14ac:dyDescent="0.25">
      <c r="B805" s="1">
        <v>43023</v>
      </c>
    </row>
    <row r="806" spans="2:2" x14ac:dyDescent="0.25">
      <c r="B806" s="1">
        <v>43024</v>
      </c>
    </row>
    <row r="807" spans="2:2" x14ac:dyDescent="0.25">
      <c r="B807" s="1">
        <v>43025</v>
      </c>
    </row>
    <row r="808" spans="2:2" x14ac:dyDescent="0.25">
      <c r="B808" s="1">
        <v>43026</v>
      </c>
    </row>
    <row r="809" spans="2:2" x14ac:dyDescent="0.25">
      <c r="B809" s="1">
        <v>43027</v>
      </c>
    </row>
    <row r="810" spans="2:2" x14ac:dyDescent="0.25">
      <c r="B810" s="1">
        <v>43028</v>
      </c>
    </row>
    <row r="811" spans="2:2" x14ac:dyDescent="0.25">
      <c r="B811" s="1">
        <v>43029</v>
      </c>
    </row>
    <row r="812" spans="2:2" x14ac:dyDescent="0.25">
      <c r="B812" s="1">
        <v>43030</v>
      </c>
    </row>
    <row r="813" spans="2:2" x14ac:dyDescent="0.25">
      <c r="B813" s="1">
        <v>43031</v>
      </c>
    </row>
    <row r="814" spans="2:2" x14ac:dyDescent="0.25">
      <c r="B814" s="1">
        <v>43032</v>
      </c>
    </row>
    <row r="815" spans="2:2" x14ac:dyDescent="0.25">
      <c r="B815" s="1">
        <v>43033</v>
      </c>
    </row>
    <row r="816" spans="2:2" x14ac:dyDescent="0.25">
      <c r="B816" s="1">
        <v>43034</v>
      </c>
    </row>
    <row r="817" spans="2:2" x14ac:dyDescent="0.25">
      <c r="B817" s="1">
        <v>43035</v>
      </c>
    </row>
    <row r="818" spans="2:2" x14ac:dyDescent="0.25">
      <c r="B818" s="1">
        <v>43036</v>
      </c>
    </row>
    <row r="819" spans="2:2" x14ac:dyDescent="0.25">
      <c r="B819" s="1">
        <v>43037</v>
      </c>
    </row>
    <row r="820" spans="2:2" x14ac:dyDescent="0.25">
      <c r="B820" s="1">
        <v>43038</v>
      </c>
    </row>
    <row r="821" spans="2:2" x14ac:dyDescent="0.25">
      <c r="B821" s="1">
        <v>43039</v>
      </c>
    </row>
    <row r="822" spans="2:2" x14ac:dyDescent="0.25">
      <c r="B822" s="1">
        <v>43040</v>
      </c>
    </row>
    <row r="823" spans="2:2" x14ac:dyDescent="0.25">
      <c r="B823" s="1">
        <v>43041</v>
      </c>
    </row>
    <row r="824" spans="2:2" x14ac:dyDescent="0.25">
      <c r="B824" s="1">
        <v>43042</v>
      </c>
    </row>
    <row r="825" spans="2:2" x14ac:dyDescent="0.25">
      <c r="B825" s="1">
        <v>43043</v>
      </c>
    </row>
    <row r="826" spans="2:2" x14ac:dyDescent="0.25">
      <c r="B826" s="1">
        <v>43044</v>
      </c>
    </row>
    <row r="827" spans="2:2" x14ac:dyDescent="0.25">
      <c r="B827" s="1">
        <v>43045</v>
      </c>
    </row>
    <row r="828" spans="2:2" x14ac:dyDescent="0.25">
      <c r="B828" s="1">
        <v>43046</v>
      </c>
    </row>
    <row r="829" spans="2:2" x14ac:dyDescent="0.25">
      <c r="B829" s="1">
        <v>43047</v>
      </c>
    </row>
    <row r="830" spans="2:2" x14ac:dyDescent="0.25">
      <c r="B830" s="1">
        <v>43048</v>
      </c>
    </row>
    <row r="831" spans="2:2" x14ac:dyDescent="0.25">
      <c r="B831" s="1">
        <v>43049</v>
      </c>
    </row>
    <row r="832" spans="2:2" x14ac:dyDescent="0.25">
      <c r="B832" s="1">
        <v>43050</v>
      </c>
    </row>
    <row r="833" spans="2:2" x14ac:dyDescent="0.25">
      <c r="B833" s="1">
        <v>43051</v>
      </c>
    </row>
    <row r="834" spans="2:2" x14ac:dyDescent="0.25">
      <c r="B834" s="1">
        <v>43052</v>
      </c>
    </row>
    <row r="835" spans="2:2" x14ac:dyDescent="0.25">
      <c r="B835" s="1">
        <v>43053</v>
      </c>
    </row>
    <row r="836" spans="2:2" x14ac:dyDescent="0.25">
      <c r="B836" s="1">
        <v>43054</v>
      </c>
    </row>
    <row r="837" spans="2:2" x14ac:dyDescent="0.25">
      <c r="B837" s="1">
        <v>43055</v>
      </c>
    </row>
    <row r="838" spans="2:2" x14ac:dyDescent="0.25">
      <c r="B838" s="1">
        <v>43056</v>
      </c>
    </row>
    <row r="839" spans="2:2" x14ac:dyDescent="0.25">
      <c r="B839" s="1">
        <v>43057</v>
      </c>
    </row>
    <row r="840" spans="2:2" x14ac:dyDescent="0.25">
      <c r="B840" s="1">
        <v>43058</v>
      </c>
    </row>
    <row r="841" spans="2:2" x14ac:dyDescent="0.25">
      <c r="B841" s="1">
        <v>43059</v>
      </c>
    </row>
    <row r="842" spans="2:2" x14ac:dyDescent="0.25">
      <c r="B842" s="1">
        <v>43060</v>
      </c>
    </row>
    <row r="843" spans="2:2" x14ac:dyDescent="0.25">
      <c r="B843" s="1">
        <v>43061</v>
      </c>
    </row>
    <row r="844" spans="2:2" x14ac:dyDescent="0.25">
      <c r="B844" s="1">
        <v>43062</v>
      </c>
    </row>
    <row r="845" spans="2:2" x14ac:dyDescent="0.25">
      <c r="B845" s="1">
        <v>43063</v>
      </c>
    </row>
    <row r="846" spans="2:2" x14ac:dyDescent="0.25">
      <c r="B846" s="1">
        <v>43064</v>
      </c>
    </row>
    <row r="847" spans="2:2" x14ac:dyDescent="0.25">
      <c r="B847" s="1">
        <v>43065</v>
      </c>
    </row>
    <row r="848" spans="2:2" x14ac:dyDescent="0.25">
      <c r="B848" s="1">
        <v>43066</v>
      </c>
    </row>
    <row r="849" spans="2:2" x14ac:dyDescent="0.25">
      <c r="B849" s="1">
        <v>43067</v>
      </c>
    </row>
    <row r="850" spans="2:2" x14ac:dyDescent="0.25">
      <c r="B850" s="1">
        <v>43068</v>
      </c>
    </row>
    <row r="851" spans="2:2" x14ac:dyDescent="0.25">
      <c r="B851" s="1">
        <v>43069</v>
      </c>
    </row>
    <row r="852" spans="2:2" x14ac:dyDescent="0.25">
      <c r="B852" s="1">
        <v>43070</v>
      </c>
    </row>
    <row r="853" spans="2:2" x14ac:dyDescent="0.25">
      <c r="B853" s="1">
        <v>43071</v>
      </c>
    </row>
    <row r="854" spans="2:2" x14ac:dyDescent="0.25">
      <c r="B854" s="1">
        <v>43072</v>
      </c>
    </row>
    <row r="855" spans="2:2" x14ac:dyDescent="0.25">
      <c r="B855" s="1">
        <v>43073</v>
      </c>
    </row>
    <row r="856" spans="2:2" x14ac:dyDescent="0.25">
      <c r="B856" s="1">
        <v>43074</v>
      </c>
    </row>
    <row r="857" spans="2:2" x14ac:dyDescent="0.25">
      <c r="B857" s="1">
        <v>43075</v>
      </c>
    </row>
    <row r="858" spans="2:2" x14ac:dyDescent="0.25">
      <c r="B858" s="1">
        <v>43076</v>
      </c>
    </row>
    <row r="859" spans="2:2" x14ac:dyDescent="0.25">
      <c r="B859" s="1">
        <v>43077</v>
      </c>
    </row>
    <row r="860" spans="2:2" x14ac:dyDescent="0.25">
      <c r="B860" s="1">
        <v>43078</v>
      </c>
    </row>
    <row r="861" spans="2:2" x14ac:dyDescent="0.25">
      <c r="B861" s="1">
        <v>43079</v>
      </c>
    </row>
    <row r="862" spans="2:2" x14ac:dyDescent="0.25">
      <c r="B862" s="1">
        <v>43080</v>
      </c>
    </row>
    <row r="863" spans="2:2" x14ac:dyDescent="0.25">
      <c r="B863" s="1">
        <v>43081</v>
      </c>
    </row>
    <row r="864" spans="2:2" x14ac:dyDescent="0.25">
      <c r="B864" s="1">
        <v>43082</v>
      </c>
    </row>
    <row r="865" spans="2:2" x14ac:dyDescent="0.25">
      <c r="B865" s="1">
        <v>43083</v>
      </c>
    </row>
    <row r="866" spans="2:2" x14ac:dyDescent="0.25">
      <c r="B866" s="1">
        <v>43084</v>
      </c>
    </row>
    <row r="867" spans="2:2" x14ac:dyDescent="0.25">
      <c r="B867" s="1">
        <v>43085</v>
      </c>
    </row>
    <row r="868" spans="2:2" x14ac:dyDescent="0.25">
      <c r="B868" s="1">
        <v>43086</v>
      </c>
    </row>
    <row r="869" spans="2:2" x14ac:dyDescent="0.25">
      <c r="B869" s="1">
        <v>43087</v>
      </c>
    </row>
    <row r="870" spans="2:2" x14ac:dyDescent="0.25">
      <c r="B870" s="1">
        <v>43088</v>
      </c>
    </row>
    <row r="871" spans="2:2" x14ac:dyDescent="0.25">
      <c r="B871" s="1">
        <v>43089</v>
      </c>
    </row>
    <row r="872" spans="2:2" x14ac:dyDescent="0.25">
      <c r="B872" s="1">
        <v>43090</v>
      </c>
    </row>
    <row r="873" spans="2:2" x14ac:dyDescent="0.25">
      <c r="B873" s="1">
        <v>43091</v>
      </c>
    </row>
    <row r="874" spans="2:2" x14ac:dyDescent="0.25">
      <c r="B874" s="1">
        <v>43092</v>
      </c>
    </row>
    <row r="875" spans="2:2" x14ac:dyDescent="0.25">
      <c r="B875" s="1">
        <v>43093</v>
      </c>
    </row>
    <row r="876" spans="2:2" x14ac:dyDescent="0.25">
      <c r="B876" s="1">
        <v>43094</v>
      </c>
    </row>
    <row r="877" spans="2:2" x14ac:dyDescent="0.25">
      <c r="B877" s="1">
        <v>43095</v>
      </c>
    </row>
    <row r="878" spans="2:2" x14ac:dyDescent="0.25">
      <c r="B878" s="1">
        <v>43096</v>
      </c>
    </row>
    <row r="879" spans="2:2" x14ac:dyDescent="0.25">
      <c r="B879" s="1">
        <v>43097</v>
      </c>
    </row>
    <row r="880" spans="2:2" x14ac:dyDescent="0.25">
      <c r="B880" s="1">
        <v>43098</v>
      </c>
    </row>
    <row r="881" spans="2:2" x14ac:dyDescent="0.25">
      <c r="B881" s="1">
        <v>43099</v>
      </c>
    </row>
    <row r="882" spans="2:2" x14ac:dyDescent="0.25">
      <c r="B882" s="1">
        <v>43100</v>
      </c>
    </row>
    <row r="883" spans="2:2" x14ac:dyDescent="0.25">
      <c r="B883" s="1">
        <v>43101</v>
      </c>
    </row>
    <row r="884" spans="2:2" x14ac:dyDescent="0.25">
      <c r="B884" s="1">
        <v>43102</v>
      </c>
    </row>
    <row r="885" spans="2:2" x14ac:dyDescent="0.25">
      <c r="B885" s="1">
        <v>43103</v>
      </c>
    </row>
    <row r="886" spans="2:2" x14ac:dyDescent="0.25">
      <c r="B886" s="1">
        <v>43104</v>
      </c>
    </row>
    <row r="887" spans="2:2" x14ac:dyDescent="0.25">
      <c r="B887" s="1">
        <v>43105</v>
      </c>
    </row>
    <row r="888" spans="2:2" x14ac:dyDescent="0.25">
      <c r="B888" s="1">
        <v>43106</v>
      </c>
    </row>
    <row r="889" spans="2:2" x14ac:dyDescent="0.25">
      <c r="B889" s="1">
        <v>43107</v>
      </c>
    </row>
    <row r="890" spans="2:2" x14ac:dyDescent="0.25">
      <c r="B890" s="1">
        <v>43108</v>
      </c>
    </row>
    <row r="891" spans="2:2" x14ac:dyDescent="0.25">
      <c r="B891" s="1">
        <v>43109</v>
      </c>
    </row>
    <row r="892" spans="2:2" x14ac:dyDescent="0.25">
      <c r="B892" s="1">
        <v>43110</v>
      </c>
    </row>
    <row r="893" spans="2:2" x14ac:dyDescent="0.25">
      <c r="B893" s="1">
        <v>43111</v>
      </c>
    </row>
    <row r="894" spans="2:2" x14ac:dyDescent="0.25">
      <c r="B894" s="1">
        <v>43112</v>
      </c>
    </row>
    <row r="895" spans="2:2" x14ac:dyDescent="0.25">
      <c r="B895" s="1">
        <v>43113</v>
      </c>
    </row>
    <row r="896" spans="2:2" x14ac:dyDescent="0.25">
      <c r="B896" s="1">
        <v>43114</v>
      </c>
    </row>
    <row r="897" spans="2:2" x14ac:dyDescent="0.25">
      <c r="B897" s="1">
        <v>43115</v>
      </c>
    </row>
    <row r="898" spans="2:2" x14ac:dyDescent="0.25">
      <c r="B898" s="1">
        <v>43116</v>
      </c>
    </row>
    <row r="899" spans="2:2" x14ac:dyDescent="0.25">
      <c r="B899" s="1">
        <v>43117</v>
      </c>
    </row>
    <row r="900" spans="2:2" x14ac:dyDescent="0.25">
      <c r="B900" s="1">
        <v>43118</v>
      </c>
    </row>
    <row r="901" spans="2:2" x14ac:dyDescent="0.25">
      <c r="B901" s="1">
        <v>43119</v>
      </c>
    </row>
    <row r="902" spans="2:2" x14ac:dyDescent="0.25">
      <c r="B902" s="1">
        <v>43120</v>
      </c>
    </row>
    <row r="903" spans="2:2" x14ac:dyDescent="0.25">
      <c r="B903" s="1">
        <v>43121</v>
      </c>
    </row>
    <row r="904" spans="2:2" x14ac:dyDescent="0.25">
      <c r="B904" s="1">
        <v>43122</v>
      </c>
    </row>
    <row r="905" spans="2:2" x14ac:dyDescent="0.25">
      <c r="B905" s="1">
        <v>43123</v>
      </c>
    </row>
    <row r="906" spans="2:2" x14ac:dyDescent="0.25">
      <c r="B906" s="1">
        <v>43124</v>
      </c>
    </row>
    <row r="907" spans="2:2" x14ac:dyDescent="0.25">
      <c r="B907" s="1">
        <v>43125</v>
      </c>
    </row>
    <row r="908" spans="2:2" x14ac:dyDescent="0.25">
      <c r="B908" s="1">
        <v>43126</v>
      </c>
    </row>
    <row r="909" spans="2:2" x14ac:dyDescent="0.25">
      <c r="B909" s="1">
        <v>43127</v>
      </c>
    </row>
    <row r="910" spans="2:2" x14ac:dyDescent="0.25">
      <c r="B910" s="1">
        <v>43128</v>
      </c>
    </row>
    <row r="911" spans="2:2" x14ac:dyDescent="0.25">
      <c r="B911" s="1">
        <v>43129</v>
      </c>
    </row>
    <row r="912" spans="2:2" x14ac:dyDescent="0.25">
      <c r="B912" s="1">
        <v>43130</v>
      </c>
    </row>
    <row r="913" spans="2:2" x14ac:dyDescent="0.25">
      <c r="B913" s="1">
        <v>43131</v>
      </c>
    </row>
    <row r="914" spans="2:2" x14ac:dyDescent="0.25">
      <c r="B914" s="1">
        <v>43132</v>
      </c>
    </row>
    <row r="915" spans="2:2" x14ac:dyDescent="0.25">
      <c r="B915" s="1">
        <v>43133</v>
      </c>
    </row>
    <row r="916" spans="2:2" x14ac:dyDescent="0.25">
      <c r="B916" s="1">
        <v>43134</v>
      </c>
    </row>
    <row r="917" spans="2:2" x14ac:dyDescent="0.25">
      <c r="B917" s="1">
        <v>43135</v>
      </c>
    </row>
    <row r="918" spans="2:2" x14ac:dyDescent="0.25">
      <c r="B918" s="1">
        <v>43136</v>
      </c>
    </row>
    <row r="919" spans="2:2" x14ac:dyDescent="0.25">
      <c r="B919" s="1">
        <v>43137</v>
      </c>
    </row>
    <row r="920" spans="2:2" x14ac:dyDescent="0.25">
      <c r="B920" s="1">
        <v>43138</v>
      </c>
    </row>
    <row r="921" spans="2:2" x14ac:dyDescent="0.25">
      <c r="B921" s="1">
        <v>43139</v>
      </c>
    </row>
    <row r="922" spans="2:2" x14ac:dyDescent="0.25">
      <c r="B922" s="1">
        <v>43140</v>
      </c>
    </row>
    <row r="923" spans="2:2" x14ac:dyDescent="0.25">
      <c r="B923" s="1">
        <v>43141</v>
      </c>
    </row>
    <row r="924" spans="2:2" x14ac:dyDescent="0.25">
      <c r="B924" s="1">
        <v>43142</v>
      </c>
    </row>
    <row r="925" spans="2:2" x14ac:dyDescent="0.25">
      <c r="B925" s="1">
        <v>43143</v>
      </c>
    </row>
    <row r="926" spans="2:2" x14ac:dyDescent="0.25">
      <c r="B926" s="1">
        <v>43144</v>
      </c>
    </row>
    <row r="927" spans="2:2" x14ac:dyDescent="0.25">
      <c r="B927" s="1">
        <v>43145</v>
      </c>
    </row>
    <row r="928" spans="2:2" x14ac:dyDescent="0.25">
      <c r="B928" s="1">
        <v>43146</v>
      </c>
    </row>
    <row r="929" spans="2:2" x14ac:dyDescent="0.25">
      <c r="B929" s="1">
        <v>43147</v>
      </c>
    </row>
    <row r="930" spans="2:2" x14ac:dyDescent="0.25">
      <c r="B930" s="1">
        <v>43148</v>
      </c>
    </row>
    <row r="931" spans="2:2" x14ac:dyDescent="0.25">
      <c r="B931" s="1">
        <v>43149</v>
      </c>
    </row>
    <row r="932" spans="2:2" x14ac:dyDescent="0.25">
      <c r="B932" s="1">
        <v>43150</v>
      </c>
    </row>
    <row r="933" spans="2:2" x14ac:dyDescent="0.25">
      <c r="B933" s="1">
        <v>43151</v>
      </c>
    </row>
    <row r="934" spans="2:2" x14ac:dyDescent="0.25">
      <c r="B934" s="1">
        <v>43152</v>
      </c>
    </row>
    <row r="935" spans="2:2" x14ac:dyDescent="0.25">
      <c r="B935" s="1">
        <v>43153</v>
      </c>
    </row>
    <row r="936" spans="2:2" x14ac:dyDescent="0.25">
      <c r="B936" s="1">
        <v>43154</v>
      </c>
    </row>
    <row r="937" spans="2:2" x14ac:dyDescent="0.25">
      <c r="B937" s="1">
        <v>43155</v>
      </c>
    </row>
    <row r="938" spans="2:2" x14ac:dyDescent="0.25">
      <c r="B938" s="1">
        <v>43156</v>
      </c>
    </row>
    <row r="939" spans="2:2" x14ac:dyDescent="0.25">
      <c r="B939" s="1">
        <v>43157</v>
      </c>
    </row>
    <row r="940" spans="2:2" x14ac:dyDescent="0.25">
      <c r="B940" s="1">
        <v>43158</v>
      </c>
    </row>
    <row r="941" spans="2:2" x14ac:dyDescent="0.25">
      <c r="B941" s="1">
        <v>43159</v>
      </c>
    </row>
    <row r="942" spans="2:2" x14ac:dyDescent="0.25">
      <c r="B942" s="1">
        <v>43160</v>
      </c>
    </row>
    <row r="943" spans="2:2" x14ac:dyDescent="0.25">
      <c r="B943" s="1">
        <v>43161</v>
      </c>
    </row>
    <row r="944" spans="2:2" x14ac:dyDescent="0.25">
      <c r="B944" s="1">
        <v>43162</v>
      </c>
    </row>
    <row r="945" spans="2:2" x14ac:dyDescent="0.25">
      <c r="B945" s="1">
        <v>43163</v>
      </c>
    </row>
    <row r="946" spans="2:2" x14ac:dyDescent="0.25">
      <c r="B946" s="1">
        <v>43164</v>
      </c>
    </row>
    <row r="947" spans="2:2" x14ac:dyDescent="0.25">
      <c r="B947" s="1">
        <v>43165</v>
      </c>
    </row>
    <row r="948" spans="2:2" x14ac:dyDescent="0.25">
      <c r="B948" s="1">
        <v>43166</v>
      </c>
    </row>
    <row r="949" spans="2:2" x14ac:dyDescent="0.25">
      <c r="B949" s="1">
        <v>43167</v>
      </c>
    </row>
    <row r="950" spans="2:2" x14ac:dyDescent="0.25">
      <c r="B950" s="1">
        <v>43168</v>
      </c>
    </row>
    <row r="951" spans="2:2" x14ac:dyDescent="0.25">
      <c r="B951" s="1">
        <v>43169</v>
      </c>
    </row>
    <row r="952" spans="2:2" x14ac:dyDescent="0.25">
      <c r="B952" s="1">
        <v>43170</v>
      </c>
    </row>
    <row r="953" spans="2:2" x14ac:dyDescent="0.25">
      <c r="B953" s="1">
        <v>43171</v>
      </c>
    </row>
    <row r="954" spans="2:2" x14ac:dyDescent="0.25">
      <c r="B954" s="1">
        <v>43172</v>
      </c>
    </row>
    <row r="955" spans="2:2" x14ac:dyDescent="0.25">
      <c r="B955" s="1">
        <v>43173</v>
      </c>
    </row>
    <row r="956" spans="2:2" x14ac:dyDescent="0.25">
      <c r="B956" s="1">
        <v>43174</v>
      </c>
    </row>
    <row r="957" spans="2:2" x14ac:dyDescent="0.25">
      <c r="B957" s="1">
        <v>43175</v>
      </c>
    </row>
    <row r="958" spans="2:2" x14ac:dyDescent="0.25">
      <c r="B958" s="1">
        <v>43176</v>
      </c>
    </row>
    <row r="959" spans="2:2" x14ac:dyDescent="0.25">
      <c r="B959" s="1">
        <v>43177</v>
      </c>
    </row>
    <row r="960" spans="2:2" x14ac:dyDescent="0.25">
      <c r="B960" s="1">
        <v>43178</v>
      </c>
    </row>
    <row r="961" spans="2:2" x14ac:dyDescent="0.25">
      <c r="B961" s="1">
        <v>43179</v>
      </c>
    </row>
    <row r="962" spans="2:2" x14ac:dyDescent="0.25">
      <c r="B962" s="1">
        <v>43180</v>
      </c>
    </row>
    <row r="963" spans="2:2" x14ac:dyDescent="0.25">
      <c r="B963" s="1">
        <v>43181</v>
      </c>
    </row>
    <row r="964" spans="2:2" x14ac:dyDescent="0.25">
      <c r="B964" s="1">
        <v>43182</v>
      </c>
    </row>
    <row r="965" spans="2:2" x14ac:dyDescent="0.25">
      <c r="B965" s="1">
        <v>43183</v>
      </c>
    </row>
    <row r="966" spans="2:2" x14ac:dyDescent="0.25">
      <c r="B966" s="1">
        <v>43184</v>
      </c>
    </row>
    <row r="967" spans="2:2" x14ac:dyDescent="0.25">
      <c r="B967" s="1">
        <v>43185</v>
      </c>
    </row>
    <row r="968" spans="2:2" x14ac:dyDescent="0.25">
      <c r="B968" s="1">
        <v>43186</v>
      </c>
    </row>
    <row r="969" spans="2:2" x14ac:dyDescent="0.25">
      <c r="B969" s="1">
        <v>43187</v>
      </c>
    </row>
    <row r="970" spans="2:2" x14ac:dyDescent="0.25">
      <c r="B970" s="1">
        <v>43188</v>
      </c>
    </row>
    <row r="971" spans="2:2" x14ac:dyDescent="0.25">
      <c r="B971" s="1">
        <v>43189</v>
      </c>
    </row>
    <row r="972" spans="2:2" x14ac:dyDescent="0.25">
      <c r="B972" s="1">
        <v>43190</v>
      </c>
    </row>
    <row r="973" spans="2:2" x14ac:dyDescent="0.25">
      <c r="B973" s="1">
        <v>43191</v>
      </c>
    </row>
    <row r="974" spans="2:2" x14ac:dyDescent="0.25">
      <c r="B974" s="1">
        <v>43192</v>
      </c>
    </row>
    <row r="975" spans="2:2" x14ac:dyDescent="0.25">
      <c r="B975" s="1">
        <v>43193</v>
      </c>
    </row>
    <row r="976" spans="2:2" x14ac:dyDescent="0.25">
      <c r="B976" s="1">
        <v>43194</v>
      </c>
    </row>
    <row r="977" spans="2:2" x14ac:dyDescent="0.25">
      <c r="B977" s="1">
        <v>43195</v>
      </c>
    </row>
    <row r="978" spans="2:2" x14ac:dyDescent="0.25">
      <c r="B978" s="1">
        <v>43196</v>
      </c>
    </row>
    <row r="979" spans="2:2" x14ac:dyDescent="0.25">
      <c r="B979" s="1">
        <v>43197</v>
      </c>
    </row>
    <row r="980" spans="2:2" x14ac:dyDescent="0.25">
      <c r="B980" s="1">
        <v>43198</v>
      </c>
    </row>
    <row r="981" spans="2:2" x14ac:dyDescent="0.25">
      <c r="B981" s="1">
        <v>43199</v>
      </c>
    </row>
    <row r="982" spans="2:2" x14ac:dyDescent="0.25">
      <c r="B982" s="1">
        <v>43200</v>
      </c>
    </row>
    <row r="983" spans="2:2" x14ac:dyDescent="0.25">
      <c r="B983" s="1">
        <v>43201</v>
      </c>
    </row>
    <row r="984" spans="2:2" x14ac:dyDescent="0.25">
      <c r="B984" s="1">
        <v>43202</v>
      </c>
    </row>
    <row r="985" spans="2:2" x14ac:dyDescent="0.25">
      <c r="B985" s="1">
        <v>43203</v>
      </c>
    </row>
    <row r="986" spans="2:2" x14ac:dyDescent="0.25">
      <c r="B986" s="1">
        <v>43204</v>
      </c>
    </row>
    <row r="987" spans="2:2" x14ac:dyDescent="0.25">
      <c r="B987" s="1">
        <v>43205</v>
      </c>
    </row>
    <row r="988" spans="2:2" x14ac:dyDescent="0.25">
      <c r="B988" s="1">
        <v>43206</v>
      </c>
    </row>
    <row r="989" spans="2:2" x14ac:dyDescent="0.25">
      <c r="B989" s="1">
        <v>43207</v>
      </c>
    </row>
    <row r="990" spans="2:2" x14ac:dyDescent="0.25">
      <c r="B990" s="1">
        <v>43208</v>
      </c>
    </row>
    <row r="991" spans="2:2" x14ac:dyDescent="0.25">
      <c r="B991" s="1">
        <v>43209</v>
      </c>
    </row>
    <row r="992" spans="2:2" x14ac:dyDescent="0.25">
      <c r="B992" s="1">
        <v>43210</v>
      </c>
    </row>
    <row r="993" spans="2:2" x14ac:dyDescent="0.25">
      <c r="B993" s="1">
        <v>43211</v>
      </c>
    </row>
    <row r="994" spans="2:2" x14ac:dyDescent="0.25">
      <c r="B994" s="1">
        <v>43212</v>
      </c>
    </row>
    <row r="995" spans="2:2" x14ac:dyDescent="0.25">
      <c r="B995" s="1">
        <v>43213</v>
      </c>
    </row>
    <row r="996" spans="2:2" x14ac:dyDescent="0.25">
      <c r="B996" s="1">
        <v>43214</v>
      </c>
    </row>
    <row r="997" spans="2:2" x14ac:dyDescent="0.25">
      <c r="B997" s="1">
        <v>43215</v>
      </c>
    </row>
    <row r="998" spans="2:2" x14ac:dyDescent="0.25">
      <c r="B998" s="1">
        <v>43216</v>
      </c>
    </row>
    <row r="999" spans="2:2" x14ac:dyDescent="0.25">
      <c r="B999" s="1">
        <v>43217</v>
      </c>
    </row>
    <row r="1000" spans="2:2" x14ac:dyDescent="0.25">
      <c r="B1000" s="1">
        <v>43218</v>
      </c>
    </row>
    <row r="1001" spans="2:2" x14ac:dyDescent="0.25">
      <c r="B1001" s="1">
        <v>43219</v>
      </c>
    </row>
    <row r="1002" spans="2:2" x14ac:dyDescent="0.25">
      <c r="B1002" s="1">
        <v>43220</v>
      </c>
    </row>
    <row r="1003" spans="2:2" x14ac:dyDescent="0.25">
      <c r="B1003" s="1">
        <v>43221</v>
      </c>
    </row>
    <row r="1004" spans="2:2" x14ac:dyDescent="0.25">
      <c r="B1004" s="1">
        <v>43222</v>
      </c>
    </row>
    <row r="1005" spans="2:2" x14ac:dyDescent="0.25">
      <c r="B1005" s="1">
        <v>43223</v>
      </c>
    </row>
    <row r="1006" spans="2:2" x14ac:dyDescent="0.25">
      <c r="B1006" s="1">
        <v>43224</v>
      </c>
    </row>
    <row r="1007" spans="2:2" x14ac:dyDescent="0.25">
      <c r="B1007" s="1">
        <v>43225</v>
      </c>
    </row>
    <row r="1008" spans="2:2" x14ac:dyDescent="0.25">
      <c r="B1008" s="1">
        <v>43226</v>
      </c>
    </row>
    <row r="1009" spans="2:2" x14ac:dyDescent="0.25">
      <c r="B1009" s="1">
        <v>43227</v>
      </c>
    </row>
    <row r="1010" spans="2:2" x14ac:dyDescent="0.25">
      <c r="B1010" s="1">
        <v>43228</v>
      </c>
    </row>
    <row r="1011" spans="2:2" x14ac:dyDescent="0.25">
      <c r="B1011" s="1">
        <v>43229</v>
      </c>
    </row>
    <row r="1012" spans="2:2" x14ac:dyDescent="0.25">
      <c r="B1012" s="1">
        <v>43230</v>
      </c>
    </row>
    <row r="1013" spans="2:2" x14ac:dyDescent="0.25">
      <c r="B1013" s="1">
        <v>43231</v>
      </c>
    </row>
    <row r="1014" spans="2:2" x14ac:dyDescent="0.25">
      <c r="B1014" s="1">
        <v>43232</v>
      </c>
    </row>
    <row r="1015" spans="2:2" x14ac:dyDescent="0.25">
      <c r="B1015" s="1">
        <v>43233</v>
      </c>
    </row>
    <row r="1016" spans="2:2" x14ac:dyDescent="0.25">
      <c r="B1016" s="1">
        <v>43234</v>
      </c>
    </row>
    <row r="1017" spans="2:2" x14ac:dyDescent="0.25">
      <c r="B1017" s="1">
        <v>43235</v>
      </c>
    </row>
    <row r="1018" spans="2:2" x14ac:dyDescent="0.25">
      <c r="B1018" s="1">
        <v>43236</v>
      </c>
    </row>
    <row r="1019" spans="2:2" x14ac:dyDescent="0.25">
      <c r="B1019" s="1">
        <v>43237</v>
      </c>
    </row>
    <row r="1020" spans="2:2" x14ac:dyDescent="0.25">
      <c r="B1020" s="1">
        <v>43238</v>
      </c>
    </row>
    <row r="1021" spans="2:2" x14ac:dyDescent="0.25">
      <c r="B1021" s="1">
        <v>43239</v>
      </c>
    </row>
    <row r="1022" spans="2:2" x14ac:dyDescent="0.25">
      <c r="B1022" s="1">
        <v>43240</v>
      </c>
    </row>
    <row r="1023" spans="2:2" x14ac:dyDescent="0.25">
      <c r="B1023" s="1">
        <v>43241</v>
      </c>
    </row>
    <row r="1024" spans="2:2" x14ac:dyDescent="0.25">
      <c r="B1024" s="1">
        <v>43242</v>
      </c>
    </row>
    <row r="1025" spans="2:2" x14ac:dyDescent="0.25">
      <c r="B1025" s="1">
        <v>43243</v>
      </c>
    </row>
    <row r="1026" spans="2:2" x14ac:dyDescent="0.25">
      <c r="B1026" s="1">
        <v>43244</v>
      </c>
    </row>
    <row r="1027" spans="2:2" x14ac:dyDescent="0.25">
      <c r="B1027" s="1">
        <v>43245</v>
      </c>
    </row>
    <row r="1028" spans="2:2" x14ac:dyDescent="0.25">
      <c r="B1028" s="1">
        <v>43246</v>
      </c>
    </row>
    <row r="1029" spans="2:2" x14ac:dyDescent="0.25">
      <c r="B1029" s="1">
        <v>43247</v>
      </c>
    </row>
    <row r="1030" spans="2:2" x14ac:dyDescent="0.25">
      <c r="B1030" s="1">
        <v>43248</v>
      </c>
    </row>
    <row r="1031" spans="2:2" x14ac:dyDescent="0.25">
      <c r="B1031" s="1">
        <v>43249</v>
      </c>
    </row>
    <row r="1032" spans="2:2" x14ac:dyDescent="0.25">
      <c r="B1032" s="1">
        <v>43250</v>
      </c>
    </row>
    <row r="1033" spans="2:2" x14ac:dyDescent="0.25">
      <c r="B1033" s="1">
        <v>43251</v>
      </c>
    </row>
    <row r="1034" spans="2:2" x14ac:dyDescent="0.25">
      <c r="B1034" s="1">
        <v>43252</v>
      </c>
    </row>
    <row r="1035" spans="2:2" x14ac:dyDescent="0.25">
      <c r="B1035" s="1">
        <v>43253</v>
      </c>
    </row>
    <row r="1036" spans="2:2" x14ac:dyDescent="0.25">
      <c r="B1036" s="1">
        <v>43254</v>
      </c>
    </row>
    <row r="1037" spans="2:2" x14ac:dyDescent="0.25">
      <c r="B1037" s="1">
        <v>43255</v>
      </c>
    </row>
    <row r="1038" spans="2:2" x14ac:dyDescent="0.25">
      <c r="B1038" s="1">
        <v>43256</v>
      </c>
    </row>
    <row r="1039" spans="2:2" x14ac:dyDescent="0.25">
      <c r="B1039" s="1">
        <v>43257</v>
      </c>
    </row>
    <row r="1040" spans="2:2" x14ac:dyDescent="0.25">
      <c r="B1040" s="1">
        <v>43258</v>
      </c>
    </row>
    <row r="1041" spans="2:2" x14ac:dyDescent="0.25">
      <c r="B1041" s="1">
        <v>43259</v>
      </c>
    </row>
    <row r="1042" spans="2:2" x14ac:dyDescent="0.25">
      <c r="B1042" s="1">
        <v>43260</v>
      </c>
    </row>
    <row r="1043" spans="2:2" x14ac:dyDescent="0.25">
      <c r="B1043" s="1">
        <v>43261</v>
      </c>
    </row>
    <row r="1044" spans="2:2" x14ac:dyDescent="0.25">
      <c r="B1044" s="1">
        <v>43262</v>
      </c>
    </row>
    <row r="1045" spans="2:2" x14ac:dyDescent="0.25">
      <c r="B1045" s="1">
        <v>43263</v>
      </c>
    </row>
    <row r="1046" spans="2:2" x14ac:dyDescent="0.25">
      <c r="B1046" s="1">
        <v>43264</v>
      </c>
    </row>
    <row r="1047" spans="2:2" x14ac:dyDescent="0.25">
      <c r="B1047" s="1">
        <v>43265</v>
      </c>
    </row>
    <row r="1048" spans="2:2" x14ac:dyDescent="0.25">
      <c r="B1048" s="1">
        <v>43266</v>
      </c>
    </row>
    <row r="1049" spans="2:2" x14ac:dyDescent="0.25">
      <c r="B1049" s="1">
        <v>43267</v>
      </c>
    </row>
    <row r="1050" spans="2:2" x14ac:dyDescent="0.25">
      <c r="B1050" s="1">
        <v>43268</v>
      </c>
    </row>
    <row r="1051" spans="2:2" x14ac:dyDescent="0.25">
      <c r="B1051" s="1">
        <v>43269</v>
      </c>
    </row>
    <row r="1052" spans="2:2" x14ac:dyDescent="0.25">
      <c r="B1052" s="1">
        <v>43270</v>
      </c>
    </row>
    <row r="1053" spans="2:2" x14ac:dyDescent="0.25">
      <c r="B1053" s="1">
        <v>43271</v>
      </c>
    </row>
    <row r="1054" spans="2:2" x14ac:dyDescent="0.25">
      <c r="B1054" s="1">
        <v>43272</v>
      </c>
    </row>
    <row r="1055" spans="2:2" x14ac:dyDescent="0.25">
      <c r="B1055" s="1">
        <v>43273</v>
      </c>
    </row>
    <row r="1056" spans="2:2" x14ac:dyDescent="0.25">
      <c r="B1056" s="1">
        <v>43274</v>
      </c>
    </row>
    <row r="1057" spans="2:2" x14ac:dyDescent="0.25">
      <c r="B1057" s="1">
        <v>43275</v>
      </c>
    </row>
    <row r="1058" spans="2:2" x14ac:dyDescent="0.25">
      <c r="B1058" s="1">
        <v>43276</v>
      </c>
    </row>
    <row r="1059" spans="2:2" x14ac:dyDescent="0.25">
      <c r="B1059" s="1">
        <v>43277</v>
      </c>
    </row>
    <row r="1060" spans="2:2" x14ac:dyDescent="0.25">
      <c r="B1060" s="1">
        <v>43278</v>
      </c>
    </row>
    <row r="1061" spans="2:2" x14ac:dyDescent="0.25">
      <c r="B1061" s="1">
        <v>43279</v>
      </c>
    </row>
    <row r="1062" spans="2:2" x14ac:dyDescent="0.25">
      <c r="B1062" s="1">
        <v>43280</v>
      </c>
    </row>
    <row r="1063" spans="2:2" x14ac:dyDescent="0.25">
      <c r="B1063" s="1">
        <v>43281</v>
      </c>
    </row>
    <row r="1064" spans="2:2" x14ac:dyDescent="0.25">
      <c r="B1064" s="1">
        <v>43282</v>
      </c>
    </row>
    <row r="1065" spans="2:2" x14ac:dyDescent="0.25">
      <c r="B1065" s="1">
        <v>43283</v>
      </c>
    </row>
    <row r="1066" spans="2:2" x14ac:dyDescent="0.25">
      <c r="B1066" s="1">
        <v>43284</v>
      </c>
    </row>
    <row r="1067" spans="2:2" x14ac:dyDescent="0.25">
      <c r="B1067" s="1">
        <v>43285</v>
      </c>
    </row>
    <row r="1068" spans="2:2" x14ac:dyDescent="0.25">
      <c r="B1068" s="1">
        <v>43286</v>
      </c>
    </row>
    <row r="1069" spans="2:2" x14ac:dyDescent="0.25">
      <c r="B1069" s="1">
        <v>43287</v>
      </c>
    </row>
    <row r="1070" spans="2:2" x14ac:dyDescent="0.25">
      <c r="B1070" s="1">
        <v>43288</v>
      </c>
    </row>
    <row r="1071" spans="2:2" x14ac:dyDescent="0.25">
      <c r="B1071" s="1">
        <v>43289</v>
      </c>
    </row>
    <row r="1072" spans="2:2" x14ac:dyDescent="0.25">
      <c r="B1072" s="1">
        <v>43290</v>
      </c>
    </row>
    <row r="1073" spans="2:2" x14ac:dyDescent="0.25">
      <c r="B1073" s="1">
        <v>43291</v>
      </c>
    </row>
    <row r="1074" spans="2:2" x14ac:dyDescent="0.25">
      <c r="B1074" s="1">
        <v>43292</v>
      </c>
    </row>
    <row r="1075" spans="2:2" x14ac:dyDescent="0.25">
      <c r="B1075" s="1">
        <v>43293</v>
      </c>
    </row>
    <row r="1076" spans="2:2" x14ac:dyDescent="0.25">
      <c r="B1076" s="1">
        <v>43294</v>
      </c>
    </row>
    <row r="1077" spans="2:2" x14ac:dyDescent="0.25">
      <c r="B1077" s="1">
        <v>43295</v>
      </c>
    </row>
    <row r="1078" spans="2:2" x14ac:dyDescent="0.25">
      <c r="B1078" s="1">
        <v>43296</v>
      </c>
    </row>
    <row r="1079" spans="2:2" x14ac:dyDescent="0.25">
      <c r="B1079" s="1">
        <v>43297</v>
      </c>
    </row>
    <row r="1080" spans="2:2" x14ac:dyDescent="0.25">
      <c r="B1080" s="1">
        <v>43298</v>
      </c>
    </row>
    <row r="1081" spans="2:2" x14ac:dyDescent="0.25">
      <c r="B1081" s="1">
        <v>43299</v>
      </c>
    </row>
    <row r="1082" spans="2:2" x14ac:dyDescent="0.25">
      <c r="B1082" s="1">
        <v>43300</v>
      </c>
    </row>
    <row r="1083" spans="2:2" x14ac:dyDescent="0.25">
      <c r="B1083" s="1">
        <v>43301</v>
      </c>
    </row>
    <row r="1084" spans="2:2" x14ac:dyDescent="0.25">
      <c r="B1084" s="1">
        <v>43302</v>
      </c>
    </row>
    <row r="1085" spans="2:2" x14ac:dyDescent="0.25">
      <c r="B1085" s="1">
        <v>43303</v>
      </c>
    </row>
    <row r="1086" spans="2:2" x14ac:dyDescent="0.25">
      <c r="B1086" s="1">
        <v>43304</v>
      </c>
    </row>
    <row r="1087" spans="2:2" x14ac:dyDescent="0.25">
      <c r="B1087" s="1">
        <v>43305</v>
      </c>
    </row>
    <row r="1088" spans="2:2" x14ac:dyDescent="0.25">
      <c r="B1088" s="1">
        <v>43306</v>
      </c>
    </row>
    <row r="1089" spans="2:2" x14ac:dyDescent="0.25">
      <c r="B1089" s="1">
        <v>43307</v>
      </c>
    </row>
    <row r="1090" spans="2:2" x14ac:dyDescent="0.25">
      <c r="B1090" s="1">
        <v>43308</v>
      </c>
    </row>
    <row r="1091" spans="2:2" x14ac:dyDescent="0.25">
      <c r="B1091" s="1">
        <v>43309</v>
      </c>
    </row>
    <row r="1092" spans="2:2" x14ac:dyDescent="0.25">
      <c r="B1092" s="1">
        <v>43310</v>
      </c>
    </row>
    <row r="1093" spans="2:2" x14ac:dyDescent="0.25">
      <c r="B1093" s="1">
        <v>43311</v>
      </c>
    </row>
    <row r="1094" spans="2:2" x14ac:dyDescent="0.25">
      <c r="B1094" s="1">
        <v>43312</v>
      </c>
    </row>
    <row r="1095" spans="2:2" x14ac:dyDescent="0.25">
      <c r="B1095" s="1">
        <v>43313</v>
      </c>
    </row>
    <row r="1096" spans="2:2" x14ac:dyDescent="0.25">
      <c r="B1096" s="1">
        <v>43314</v>
      </c>
    </row>
    <row r="1097" spans="2:2" x14ac:dyDescent="0.25">
      <c r="B1097" s="1">
        <v>43315</v>
      </c>
    </row>
    <row r="1098" spans="2:2" x14ac:dyDescent="0.25">
      <c r="B1098" s="1">
        <v>43316</v>
      </c>
    </row>
    <row r="1099" spans="2:2" x14ac:dyDescent="0.25">
      <c r="B1099" s="1">
        <v>43317</v>
      </c>
    </row>
    <row r="1100" spans="2:2" x14ac:dyDescent="0.25">
      <c r="B1100" s="1">
        <v>43318</v>
      </c>
    </row>
    <row r="1101" spans="2:2" x14ac:dyDescent="0.25">
      <c r="B1101" s="1">
        <v>43319</v>
      </c>
    </row>
    <row r="1102" spans="2:2" x14ac:dyDescent="0.25">
      <c r="B1102" s="1">
        <v>43320</v>
      </c>
    </row>
    <row r="1103" spans="2:2" x14ac:dyDescent="0.25">
      <c r="B1103" s="1">
        <v>43321</v>
      </c>
    </row>
    <row r="1104" spans="2:2" x14ac:dyDescent="0.25">
      <c r="B1104" s="1">
        <v>43322</v>
      </c>
    </row>
    <row r="1105" spans="2:2" x14ac:dyDescent="0.25">
      <c r="B1105" s="1">
        <v>43323</v>
      </c>
    </row>
    <row r="1106" spans="2:2" x14ac:dyDescent="0.25">
      <c r="B1106" s="1">
        <v>43324</v>
      </c>
    </row>
    <row r="1107" spans="2:2" x14ac:dyDescent="0.25">
      <c r="B1107" s="1">
        <v>43325</v>
      </c>
    </row>
    <row r="1108" spans="2:2" x14ac:dyDescent="0.25">
      <c r="B1108" s="1">
        <v>43326</v>
      </c>
    </row>
    <row r="1109" spans="2:2" x14ac:dyDescent="0.25">
      <c r="B1109" s="1">
        <v>43327</v>
      </c>
    </row>
    <row r="1110" spans="2:2" x14ac:dyDescent="0.25">
      <c r="B1110" s="1">
        <v>43328</v>
      </c>
    </row>
    <row r="1111" spans="2:2" x14ac:dyDescent="0.25">
      <c r="B1111" s="1">
        <v>43329</v>
      </c>
    </row>
    <row r="1112" spans="2:2" x14ac:dyDescent="0.25">
      <c r="B1112" s="1">
        <v>43330</v>
      </c>
    </row>
    <row r="1113" spans="2:2" x14ac:dyDescent="0.25">
      <c r="B1113" s="1">
        <v>43331</v>
      </c>
    </row>
    <row r="1114" spans="2:2" x14ac:dyDescent="0.25">
      <c r="B1114" s="1">
        <v>43332</v>
      </c>
    </row>
    <row r="1115" spans="2:2" x14ac:dyDescent="0.25">
      <c r="B1115" s="1">
        <v>43333</v>
      </c>
    </row>
    <row r="1116" spans="2:2" x14ac:dyDescent="0.25">
      <c r="B1116" s="1">
        <v>43334</v>
      </c>
    </row>
    <row r="1117" spans="2:2" x14ac:dyDescent="0.25">
      <c r="B1117" s="1">
        <v>43335</v>
      </c>
    </row>
    <row r="1118" spans="2:2" x14ac:dyDescent="0.25">
      <c r="B1118" s="1">
        <v>43336</v>
      </c>
    </row>
    <row r="1119" spans="2:2" x14ac:dyDescent="0.25">
      <c r="B1119" s="1">
        <v>43337</v>
      </c>
    </row>
    <row r="1120" spans="2:2" x14ac:dyDescent="0.25">
      <c r="B1120" s="1">
        <v>43338</v>
      </c>
    </row>
    <row r="1121" spans="2:2" x14ac:dyDescent="0.25">
      <c r="B1121" s="1">
        <v>43339</v>
      </c>
    </row>
    <row r="1122" spans="2:2" x14ac:dyDescent="0.25">
      <c r="B1122" s="1">
        <v>43340</v>
      </c>
    </row>
    <row r="1123" spans="2:2" x14ac:dyDescent="0.25">
      <c r="B1123" s="1">
        <v>43341</v>
      </c>
    </row>
    <row r="1124" spans="2:2" x14ac:dyDescent="0.25">
      <c r="B1124" s="1">
        <v>43342</v>
      </c>
    </row>
    <row r="1125" spans="2:2" x14ac:dyDescent="0.25">
      <c r="B1125" s="1">
        <v>43343</v>
      </c>
    </row>
    <row r="1126" spans="2:2" x14ac:dyDescent="0.25">
      <c r="B1126" s="1">
        <v>43344</v>
      </c>
    </row>
    <row r="1127" spans="2:2" x14ac:dyDescent="0.25">
      <c r="B1127" s="1">
        <v>43345</v>
      </c>
    </row>
    <row r="1128" spans="2:2" x14ac:dyDescent="0.25">
      <c r="B1128" s="1">
        <v>43346</v>
      </c>
    </row>
    <row r="1129" spans="2:2" x14ac:dyDescent="0.25">
      <c r="B1129" s="1">
        <v>43347</v>
      </c>
    </row>
    <row r="1130" spans="2:2" x14ac:dyDescent="0.25">
      <c r="B1130" s="1">
        <v>43348</v>
      </c>
    </row>
    <row r="1131" spans="2:2" x14ac:dyDescent="0.25">
      <c r="B1131" s="1">
        <v>43349</v>
      </c>
    </row>
    <row r="1132" spans="2:2" x14ac:dyDescent="0.25">
      <c r="B1132" s="1">
        <v>43350</v>
      </c>
    </row>
    <row r="1133" spans="2:2" x14ac:dyDescent="0.25">
      <c r="B1133" s="1">
        <v>43351</v>
      </c>
    </row>
    <row r="1134" spans="2:2" x14ac:dyDescent="0.25">
      <c r="B1134" s="1">
        <v>43352</v>
      </c>
    </row>
    <row r="1135" spans="2:2" x14ac:dyDescent="0.25">
      <c r="B1135" s="1">
        <v>43353</v>
      </c>
    </row>
    <row r="1136" spans="2:2" x14ac:dyDescent="0.25">
      <c r="B1136" s="1">
        <v>43354</v>
      </c>
    </row>
    <row r="1137" spans="2:2" x14ac:dyDescent="0.25">
      <c r="B1137" s="1">
        <v>43355</v>
      </c>
    </row>
    <row r="1138" spans="2:2" x14ac:dyDescent="0.25">
      <c r="B1138" s="1">
        <v>43356</v>
      </c>
    </row>
    <row r="1139" spans="2:2" x14ac:dyDescent="0.25">
      <c r="B1139" s="1">
        <v>43357</v>
      </c>
    </row>
    <row r="1140" spans="2:2" x14ac:dyDescent="0.25">
      <c r="B1140" s="1">
        <v>43358</v>
      </c>
    </row>
    <row r="1141" spans="2:2" x14ac:dyDescent="0.25">
      <c r="B1141" s="1">
        <v>43359</v>
      </c>
    </row>
    <row r="1142" spans="2:2" x14ac:dyDescent="0.25">
      <c r="B1142" s="1">
        <v>43360</v>
      </c>
    </row>
    <row r="1143" spans="2:2" x14ac:dyDescent="0.25">
      <c r="B1143" s="1">
        <v>43361</v>
      </c>
    </row>
    <row r="1144" spans="2:2" x14ac:dyDescent="0.25">
      <c r="B1144" s="1">
        <v>43362</v>
      </c>
    </row>
    <row r="1145" spans="2:2" x14ac:dyDescent="0.25">
      <c r="B1145" s="1">
        <v>43363</v>
      </c>
    </row>
    <row r="1146" spans="2:2" x14ac:dyDescent="0.25">
      <c r="B1146" s="1">
        <v>43364</v>
      </c>
    </row>
    <row r="1147" spans="2:2" x14ac:dyDescent="0.25">
      <c r="B1147" s="1">
        <v>43365</v>
      </c>
    </row>
    <row r="1148" spans="2:2" x14ac:dyDescent="0.25">
      <c r="B1148" s="1">
        <v>43366</v>
      </c>
    </row>
    <row r="1149" spans="2:2" x14ac:dyDescent="0.25">
      <c r="B1149" s="1">
        <v>43367</v>
      </c>
    </row>
    <row r="1150" spans="2:2" x14ac:dyDescent="0.25">
      <c r="B1150" s="1">
        <v>43368</v>
      </c>
    </row>
    <row r="1151" spans="2:2" x14ac:dyDescent="0.25">
      <c r="B1151" s="1">
        <v>43369</v>
      </c>
    </row>
    <row r="1152" spans="2:2" x14ac:dyDescent="0.25">
      <c r="B1152" s="1">
        <v>43370</v>
      </c>
    </row>
    <row r="1153" spans="2:2" x14ac:dyDescent="0.25">
      <c r="B1153" s="1">
        <v>43371</v>
      </c>
    </row>
    <row r="1154" spans="2:2" x14ac:dyDescent="0.25">
      <c r="B1154" s="1">
        <v>43372</v>
      </c>
    </row>
    <row r="1155" spans="2:2" x14ac:dyDescent="0.25">
      <c r="B1155" s="1">
        <v>43373</v>
      </c>
    </row>
    <row r="1156" spans="2:2" x14ac:dyDescent="0.25">
      <c r="B1156" s="1">
        <v>43374</v>
      </c>
    </row>
    <row r="1157" spans="2:2" x14ac:dyDescent="0.25">
      <c r="B1157" s="1">
        <v>43375</v>
      </c>
    </row>
    <row r="1158" spans="2:2" x14ac:dyDescent="0.25">
      <c r="B1158" s="1">
        <v>43376</v>
      </c>
    </row>
    <row r="1159" spans="2:2" x14ac:dyDescent="0.25">
      <c r="B1159" s="1">
        <v>43377</v>
      </c>
    </row>
    <row r="1160" spans="2:2" x14ac:dyDescent="0.25">
      <c r="B1160" s="1">
        <v>43378</v>
      </c>
    </row>
    <row r="1161" spans="2:2" x14ac:dyDescent="0.25">
      <c r="B1161" s="1">
        <v>43379</v>
      </c>
    </row>
    <row r="1162" spans="2:2" x14ac:dyDescent="0.25">
      <c r="B1162" s="1">
        <v>43380</v>
      </c>
    </row>
    <row r="1163" spans="2:2" x14ac:dyDescent="0.25">
      <c r="B1163" s="1">
        <v>43381</v>
      </c>
    </row>
    <row r="1164" spans="2:2" x14ac:dyDescent="0.25">
      <c r="B1164" s="1">
        <v>43382</v>
      </c>
    </row>
    <row r="1165" spans="2:2" x14ac:dyDescent="0.25">
      <c r="B1165" s="1">
        <v>43383</v>
      </c>
    </row>
    <row r="1166" spans="2:2" x14ac:dyDescent="0.25">
      <c r="B1166" s="1">
        <v>43384</v>
      </c>
    </row>
    <row r="1167" spans="2:2" x14ac:dyDescent="0.25">
      <c r="B1167" s="1">
        <v>43385</v>
      </c>
    </row>
    <row r="1168" spans="2:2" x14ac:dyDescent="0.25">
      <c r="B1168" s="1">
        <v>43386</v>
      </c>
    </row>
    <row r="1169" spans="2:2" x14ac:dyDescent="0.25">
      <c r="B1169" s="1">
        <v>43387</v>
      </c>
    </row>
    <row r="1170" spans="2:2" x14ac:dyDescent="0.25">
      <c r="B1170" s="1">
        <v>43388</v>
      </c>
    </row>
    <row r="1171" spans="2:2" x14ac:dyDescent="0.25">
      <c r="B1171" s="1">
        <v>43389</v>
      </c>
    </row>
    <row r="1172" spans="2:2" x14ac:dyDescent="0.25">
      <c r="B1172" s="1">
        <v>43390</v>
      </c>
    </row>
    <row r="1173" spans="2:2" x14ac:dyDescent="0.25">
      <c r="B1173" s="1">
        <v>43391</v>
      </c>
    </row>
    <row r="1174" spans="2:2" x14ac:dyDescent="0.25">
      <c r="B1174" s="1">
        <v>43392</v>
      </c>
    </row>
    <row r="1175" spans="2:2" x14ac:dyDescent="0.25">
      <c r="B1175" s="1">
        <v>43393</v>
      </c>
    </row>
    <row r="1176" spans="2:2" x14ac:dyDescent="0.25">
      <c r="B1176" s="1">
        <v>43394</v>
      </c>
    </row>
    <row r="1177" spans="2:2" x14ac:dyDescent="0.25">
      <c r="B1177" s="1">
        <v>43395</v>
      </c>
    </row>
    <row r="1178" spans="2:2" x14ac:dyDescent="0.25">
      <c r="B1178" s="1">
        <v>43396</v>
      </c>
    </row>
    <row r="1179" spans="2:2" x14ac:dyDescent="0.25">
      <c r="B1179" s="1">
        <v>43397</v>
      </c>
    </row>
    <row r="1180" spans="2:2" x14ac:dyDescent="0.25">
      <c r="B1180" s="1">
        <v>43398</v>
      </c>
    </row>
    <row r="1181" spans="2:2" x14ac:dyDescent="0.25">
      <c r="B1181" s="1">
        <v>43399</v>
      </c>
    </row>
    <row r="1182" spans="2:2" x14ac:dyDescent="0.25">
      <c r="B1182" s="1">
        <v>43400</v>
      </c>
    </row>
    <row r="1183" spans="2:2" x14ac:dyDescent="0.25">
      <c r="B1183" s="1">
        <v>43401</v>
      </c>
    </row>
    <row r="1184" spans="2:2" x14ac:dyDescent="0.25">
      <c r="B1184" s="1">
        <v>43402</v>
      </c>
    </row>
    <row r="1185" spans="2:2" x14ac:dyDescent="0.25">
      <c r="B1185" s="1">
        <v>43403</v>
      </c>
    </row>
    <row r="1186" spans="2:2" x14ac:dyDescent="0.25">
      <c r="B1186" s="1">
        <v>43404</v>
      </c>
    </row>
    <row r="1187" spans="2:2" x14ac:dyDescent="0.25">
      <c r="B1187" s="1">
        <v>43405</v>
      </c>
    </row>
    <row r="1188" spans="2:2" x14ac:dyDescent="0.25">
      <c r="B1188" s="1">
        <v>43406</v>
      </c>
    </row>
    <row r="1189" spans="2:2" x14ac:dyDescent="0.25">
      <c r="B1189" s="1">
        <v>43407</v>
      </c>
    </row>
    <row r="1190" spans="2:2" x14ac:dyDescent="0.25">
      <c r="B1190" s="1">
        <v>43408</v>
      </c>
    </row>
    <row r="1191" spans="2:2" x14ac:dyDescent="0.25">
      <c r="B1191" s="1">
        <v>43409</v>
      </c>
    </row>
    <row r="1192" spans="2:2" x14ac:dyDescent="0.25">
      <c r="B1192" s="1">
        <v>43410</v>
      </c>
    </row>
    <row r="1193" spans="2:2" x14ac:dyDescent="0.25">
      <c r="B1193" s="1">
        <v>43411</v>
      </c>
    </row>
    <row r="1194" spans="2:2" x14ac:dyDescent="0.25">
      <c r="B1194" s="1">
        <v>43412</v>
      </c>
    </row>
    <row r="1195" spans="2:2" x14ac:dyDescent="0.25">
      <c r="B1195" s="1">
        <v>43413</v>
      </c>
    </row>
    <row r="1196" spans="2:2" x14ac:dyDescent="0.25">
      <c r="B1196" s="1">
        <v>43414</v>
      </c>
    </row>
    <row r="1197" spans="2:2" x14ac:dyDescent="0.25">
      <c r="B1197" s="1">
        <v>43415</v>
      </c>
    </row>
    <row r="1198" spans="2:2" x14ac:dyDescent="0.25">
      <c r="B1198" s="1">
        <v>43416</v>
      </c>
    </row>
    <row r="1199" spans="2:2" x14ac:dyDescent="0.25">
      <c r="B1199" s="1">
        <v>43417</v>
      </c>
    </row>
    <row r="1200" spans="2:2" x14ac:dyDescent="0.25">
      <c r="B1200" s="1">
        <v>43418</v>
      </c>
    </row>
    <row r="1201" spans="2:2" x14ac:dyDescent="0.25">
      <c r="B1201" s="1">
        <v>43419</v>
      </c>
    </row>
    <row r="1202" spans="2:2" x14ac:dyDescent="0.25">
      <c r="B1202" s="1">
        <v>43420</v>
      </c>
    </row>
    <row r="1203" spans="2:2" x14ac:dyDescent="0.25">
      <c r="B1203" s="1">
        <v>43421</v>
      </c>
    </row>
    <row r="1204" spans="2:2" x14ac:dyDescent="0.25">
      <c r="B1204" s="1">
        <v>43422</v>
      </c>
    </row>
    <row r="1205" spans="2:2" x14ac:dyDescent="0.25">
      <c r="B1205" s="1">
        <v>43423</v>
      </c>
    </row>
    <row r="1206" spans="2:2" x14ac:dyDescent="0.25">
      <c r="B1206" s="1">
        <v>43424</v>
      </c>
    </row>
    <row r="1207" spans="2:2" x14ac:dyDescent="0.25">
      <c r="B1207" s="1">
        <v>43425</v>
      </c>
    </row>
    <row r="1208" spans="2:2" x14ac:dyDescent="0.25">
      <c r="B1208" s="1">
        <v>43426</v>
      </c>
    </row>
    <row r="1209" spans="2:2" x14ac:dyDescent="0.25">
      <c r="B1209" s="1">
        <v>43427</v>
      </c>
    </row>
    <row r="1210" spans="2:2" x14ac:dyDescent="0.25">
      <c r="B1210" s="1">
        <v>43428</v>
      </c>
    </row>
    <row r="1211" spans="2:2" x14ac:dyDescent="0.25">
      <c r="B1211" s="1">
        <v>43429</v>
      </c>
    </row>
    <row r="1212" spans="2:2" x14ac:dyDescent="0.25">
      <c r="B1212" s="1">
        <v>43430</v>
      </c>
    </row>
    <row r="1213" spans="2:2" x14ac:dyDescent="0.25">
      <c r="B1213" s="1">
        <v>43431</v>
      </c>
    </row>
    <row r="1214" spans="2:2" x14ac:dyDescent="0.25">
      <c r="B1214" s="1">
        <v>43432</v>
      </c>
    </row>
    <row r="1215" spans="2:2" x14ac:dyDescent="0.25">
      <c r="B1215" s="1">
        <v>43433</v>
      </c>
    </row>
    <row r="1216" spans="2:2" x14ac:dyDescent="0.25">
      <c r="B1216" s="1">
        <v>43434</v>
      </c>
    </row>
    <row r="1217" spans="2:2" x14ac:dyDescent="0.25">
      <c r="B1217" s="1">
        <v>43435</v>
      </c>
    </row>
    <row r="1218" spans="2:2" x14ac:dyDescent="0.25">
      <c r="B1218" s="1">
        <v>43436</v>
      </c>
    </row>
    <row r="1219" spans="2:2" x14ac:dyDescent="0.25">
      <c r="B1219" s="1">
        <v>43437</v>
      </c>
    </row>
    <row r="1220" spans="2:2" x14ac:dyDescent="0.25">
      <c r="B1220" s="1">
        <v>43438</v>
      </c>
    </row>
    <row r="1221" spans="2:2" x14ac:dyDescent="0.25">
      <c r="B1221" s="1">
        <v>43439</v>
      </c>
    </row>
    <row r="1222" spans="2:2" x14ac:dyDescent="0.25">
      <c r="B1222" s="1">
        <v>43440</v>
      </c>
    </row>
    <row r="1223" spans="2:2" x14ac:dyDescent="0.25">
      <c r="B1223" s="1">
        <v>43441</v>
      </c>
    </row>
    <row r="1224" spans="2:2" x14ac:dyDescent="0.25">
      <c r="B1224" s="1">
        <v>43442</v>
      </c>
    </row>
    <row r="1225" spans="2:2" x14ac:dyDescent="0.25">
      <c r="B1225" s="1">
        <v>43443</v>
      </c>
    </row>
    <row r="1226" spans="2:2" x14ac:dyDescent="0.25">
      <c r="B1226" s="1">
        <v>43444</v>
      </c>
    </row>
    <row r="1227" spans="2:2" x14ac:dyDescent="0.25">
      <c r="B1227" s="1">
        <v>43445</v>
      </c>
    </row>
    <row r="1228" spans="2:2" x14ac:dyDescent="0.25">
      <c r="B1228" s="1">
        <v>43446</v>
      </c>
    </row>
    <row r="1229" spans="2:2" x14ac:dyDescent="0.25">
      <c r="B1229" s="1">
        <v>43447</v>
      </c>
    </row>
    <row r="1230" spans="2:2" x14ac:dyDescent="0.25">
      <c r="B1230" s="1">
        <v>43448</v>
      </c>
    </row>
    <row r="1231" spans="2:2" x14ac:dyDescent="0.25">
      <c r="B1231" s="1">
        <v>43449</v>
      </c>
    </row>
    <row r="1232" spans="2:2" x14ac:dyDescent="0.25">
      <c r="B1232" s="1">
        <v>43450</v>
      </c>
    </row>
    <row r="1233" spans="2:2" x14ac:dyDescent="0.25">
      <c r="B1233" s="1">
        <v>43451</v>
      </c>
    </row>
    <row r="1234" spans="2:2" x14ac:dyDescent="0.25">
      <c r="B1234" s="1">
        <v>43452</v>
      </c>
    </row>
    <row r="1235" spans="2:2" x14ac:dyDescent="0.25">
      <c r="B1235" s="1">
        <v>43453</v>
      </c>
    </row>
    <row r="1236" spans="2:2" x14ac:dyDescent="0.25">
      <c r="B1236" s="1">
        <v>43454</v>
      </c>
    </row>
    <row r="1237" spans="2:2" x14ac:dyDescent="0.25">
      <c r="B1237" s="1">
        <v>43455</v>
      </c>
    </row>
    <row r="1238" spans="2:2" x14ac:dyDescent="0.25">
      <c r="B1238" s="1">
        <v>43456</v>
      </c>
    </row>
    <row r="1239" spans="2:2" x14ac:dyDescent="0.25">
      <c r="B1239" s="1">
        <v>43457</v>
      </c>
    </row>
    <row r="1240" spans="2:2" x14ac:dyDescent="0.25">
      <c r="B1240" s="1">
        <v>43458</v>
      </c>
    </row>
    <row r="1241" spans="2:2" x14ac:dyDescent="0.25">
      <c r="B1241" s="1">
        <v>43459</v>
      </c>
    </row>
    <row r="1242" spans="2:2" x14ac:dyDescent="0.25">
      <c r="B1242" s="1">
        <v>43460</v>
      </c>
    </row>
    <row r="1243" spans="2:2" x14ac:dyDescent="0.25">
      <c r="B1243" s="1">
        <v>43461</v>
      </c>
    </row>
    <row r="1244" spans="2:2" x14ac:dyDescent="0.25">
      <c r="B1244" s="1">
        <v>43462</v>
      </c>
    </row>
    <row r="1245" spans="2:2" x14ac:dyDescent="0.25">
      <c r="B1245" s="1">
        <v>43463</v>
      </c>
    </row>
    <row r="1246" spans="2:2" x14ac:dyDescent="0.25">
      <c r="B1246" s="1">
        <v>43464</v>
      </c>
    </row>
    <row r="1247" spans="2:2" x14ac:dyDescent="0.25">
      <c r="B1247" s="1">
        <v>43465</v>
      </c>
    </row>
    <row r="1248" spans="2:2" x14ac:dyDescent="0.25">
      <c r="B1248" s="1">
        <v>43466</v>
      </c>
    </row>
    <row r="1249" spans="2:2" x14ac:dyDescent="0.25">
      <c r="B1249" s="1">
        <v>43467</v>
      </c>
    </row>
    <row r="1250" spans="2:2" x14ac:dyDescent="0.25">
      <c r="B1250" s="1">
        <v>43468</v>
      </c>
    </row>
    <row r="1251" spans="2:2" x14ac:dyDescent="0.25">
      <c r="B1251" s="1">
        <v>43469</v>
      </c>
    </row>
    <row r="1252" spans="2:2" x14ac:dyDescent="0.25">
      <c r="B1252" s="1">
        <v>43470</v>
      </c>
    </row>
    <row r="1253" spans="2:2" x14ac:dyDescent="0.25">
      <c r="B1253" s="1">
        <v>43471</v>
      </c>
    </row>
    <row r="1254" spans="2:2" x14ac:dyDescent="0.25">
      <c r="B1254" s="1">
        <v>43472</v>
      </c>
    </row>
    <row r="1255" spans="2:2" x14ac:dyDescent="0.25">
      <c r="B1255" s="1">
        <v>43473</v>
      </c>
    </row>
    <row r="1256" spans="2:2" x14ac:dyDescent="0.25">
      <c r="B1256" s="1">
        <v>43474</v>
      </c>
    </row>
    <row r="1257" spans="2:2" x14ac:dyDescent="0.25">
      <c r="B1257" s="1">
        <v>43475</v>
      </c>
    </row>
    <row r="1258" spans="2:2" x14ac:dyDescent="0.25">
      <c r="B1258" s="1">
        <v>43476</v>
      </c>
    </row>
    <row r="1259" spans="2:2" x14ac:dyDescent="0.25">
      <c r="B1259" s="1">
        <v>43477</v>
      </c>
    </row>
    <row r="1260" spans="2:2" x14ac:dyDescent="0.25">
      <c r="B1260" s="1">
        <v>43478</v>
      </c>
    </row>
    <row r="1261" spans="2:2" x14ac:dyDescent="0.25">
      <c r="B1261" s="1">
        <v>43479</v>
      </c>
    </row>
    <row r="1262" spans="2:2" x14ac:dyDescent="0.25">
      <c r="B1262" s="1">
        <v>43480</v>
      </c>
    </row>
    <row r="1263" spans="2:2" x14ac:dyDescent="0.25">
      <c r="B1263" s="1">
        <v>43481</v>
      </c>
    </row>
    <row r="1264" spans="2:2" x14ac:dyDescent="0.25">
      <c r="B1264" s="1">
        <v>43482</v>
      </c>
    </row>
    <row r="1265" spans="2:2" x14ac:dyDescent="0.25">
      <c r="B1265" s="1">
        <v>43483</v>
      </c>
    </row>
    <row r="1266" spans="2:2" x14ac:dyDescent="0.25">
      <c r="B1266" s="1">
        <v>43484</v>
      </c>
    </row>
    <row r="1267" spans="2:2" x14ac:dyDescent="0.25">
      <c r="B1267" s="1">
        <v>43485</v>
      </c>
    </row>
    <row r="1268" spans="2:2" x14ac:dyDescent="0.25">
      <c r="B1268" s="1">
        <v>43486</v>
      </c>
    </row>
    <row r="1269" spans="2:2" x14ac:dyDescent="0.25">
      <c r="B1269" s="1">
        <v>43487</v>
      </c>
    </row>
    <row r="1270" spans="2:2" x14ac:dyDescent="0.25">
      <c r="B1270" s="1">
        <v>43488</v>
      </c>
    </row>
    <row r="1271" spans="2:2" x14ac:dyDescent="0.25">
      <c r="B1271" s="1">
        <v>43489</v>
      </c>
    </row>
    <row r="1272" spans="2:2" x14ac:dyDescent="0.25">
      <c r="B1272" s="1">
        <v>43490</v>
      </c>
    </row>
    <row r="1273" spans="2:2" x14ac:dyDescent="0.25">
      <c r="B1273" s="1">
        <v>43491</v>
      </c>
    </row>
    <row r="1274" spans="2:2" x14ac:dyDescent="0.25">
      <c r="B1274" s="1">
        <v>43492</v>
      </c>
    </row>
    <row r="1275" spans="2:2" x14ac:dyDescent="0.25">
      <c r="B1275" s="1">
        <v>43493</v>
      </c>
    </row>
    <row r="1276" spans="2:2" x14ac:dyDescent="0.25">
      <c r="B1276" s="1">
        <v>43494</v>
      </c>
    </row>
    <row r="1277" spans="2:2" x14ac:dyDescent="0.25">
      <c r="B1277" s="1">
        <v>43495</v>
      </c>
    </row>
    <row r="1278" spans="2:2" x14ac:dyDescent="0.25">
      <c r="B1278" s="1">
        <v>43496</v>
      </c>
    </row>
    <row r="1279" spans="2:2" x14ac:dyDescent="0.25">
      <c r="B1279" s="1">
        <v>43497</v>
      </c>
    </row>
    <row r="1280" spans="2:2" x14ac:dyDescent="0.25">
      <c r="B1280" s="1">
        <v>43498</v>
      </c>
    </row>
    <row r="1281" spans="2:2" x14ac:dyDescent="0.25">
      <c r="B1281" s="1">
        <v>43499</v>
      </c>
    </row>
    <row r="1282" spans="2:2" x14ac:dyDescent="0.25">
      <c r="B1282" s="1">
        <v>43500</v>
      </c>
    </row>
    <row r="1283" spans="2:2" x14ac:dyDescent="0.25">
      <c r="B1283" s="1">
        <v>43501</v>
      </c>
    </row>
    <row r="1284" spans="2:2" x14ac:dyDescent="0.25">
      <c r="B1284" s="1">
        <v>43502</v>
      </c>
    </row>
    <row r="1285" spans="2:2" x14ac:dyDescent="0.25">
      <c r="B1285" s="1">
        <v>43503</v>
      </c>
    </row>
    <row r="1286" spans="2:2" x14ac:dyDescent="0.25">
      <c r="B1286" s="1">
        <v>43504</v>
      </c>
    </row>
    <row r="1287" spans="2:2" x14ac:dyDescent="0.25">
      <c r="B1287" s="1">
        <v>43505</v>
      </c>
    </row>
    <row r="1288" spans="2:2" x14ac:dyDescent="0.25">
      <c r="B1288" s="1">
        <v>43506</v>
      </c>
    </row>
    <row r="1289" spans="2:2" x14ac:dyDescent="0.25">
      <c r="B1289" s="1">
        <v>43507</v>
      </c>
    </row>
    <row r="1290" spans="2:2" x14ac:dyDescent="0.25">
      <c r="B1290" s="1">
        <v>43508</v>
      </c>
    </row>
    <row r="1291" spans="2:2" x14ac:dyDescent="0.25">
      <c r="B1291" s="1">
        <v>43509</v>
      </c>
    </row>
    <row r="1292" spans="2:2" x14ac:dyDescent="0.25">
      <c r="B1292" s="1">
        <v>43510</v>
      </c>
    </row>
    <row r="1293" spans="2:2" x14ac:dyDescent="0.25">
      <c r="B1293" s="1">
        <v>43511</v>
      </c>
    </row>
    <row r="1294" spans="2:2" x14ac:dyDescent="0.25">
      <c r="B1294" s="1">
        <v>43512</v>
      </c>
    </row>
    <row r="1295" spans="2:2" x14ac:dyDescent="0.25">
      <c r="B1295" s="1">
        <v>43513</v>
      </c>
    </row>
    <row r="1296" spans="2:2" x14ac:dyDescent="0.25">
      <c r="B1296" s="1">
        <v>43514</v>
      </c>
    </row>
    <row r="1297" spans="2:2" x14ac:dyDescent="0.25">
      <c r="B1297" s="1">
        <v>43515</v>
      </c>
    </row>
    <row r="1298" spans="2:2" x14ac:dyDescent="0.25">
      <c r="B1298" s="1">
        <v>43516</v>
      </c>
    </row>
    <row r="1299" spans="2:2" x14ac:dyDescent="0.25">
      <c r="B1299" s="1">
        <v>43517</v>
      </c>
    </row>
    <row r="1300" spans="2:2" x14ac:dyDescent="0.25">
      <c r="B1300" s="1">
        <v>43518</v>
      </c>
    </row>
    <row r="1301" spans="2:2" x14ac:dyDescent="0.25">
      <c r="B1301" s="1">
        <v>43519</v>
      </c>
    </row>
    <row r="1302" spans="2:2" x14ac:dyDescent="0.25">
      <c r="B1302" s="1">
        <v>43520</v>
      </c>
    </row>
    <row r="1303" spans="2:2" x14ac:dyDescent="0.25">
      <c r="B1303" s="1">
        <v>43521</v>
      </c>
    </row>
    <row r="1304" spans="2:2" x14ac:dyDescent="0.25">
      <c r="B1304" s="1">
        <v>43522</v>
      </c>
    </row>
    <row r="1305" spans="2:2" x14ac:dyDescent="0.25">
      <c r="B1305" s="1">
        <v>43523</v>
      </c>
    </row>
    <row r="1306" spans="2:2" x14ac:dyDescent="0.25">
      <c r="B1306" s="1">
        <v>43524</v>
      </c>
    </row>
    <row r="1307" spans="2:2" x14ac:dyDescent="0.25">
      <c r="B1307" s="1">
        <v>43525</v>
      </c>
    </row>
    <row r="1308" spans="2:2" x14ac:dyDescent="0.25">
      <c r="B1308" s="1">
        <v>43526</v>
      </c>
    </row>
    <row r="1309" spans="2:2" x14ac:dyDescent="0.25">
      <c r="B1309" s="1">
        <v>43527</v>
      </c>
    </row>
    <row r="1310" spans="2:2" x14ac:dyDescent="0.25">
      <c r="B1310" s="1">
        <v>43528</v>
      </c>
    </row>
    <row r="1311" spans="2:2" x14ac:dyDescent="0.25">
      <c r="B1311" s="1">
        <v>43529</v>
      </c>
    </row>
    <row r="1312" spans="2:2" x14ac:dyDescent="0.25">
      <c r="B1312" s="1">
        <v>43530</v>
      </c>
    </row>
    <row r="1313" spans="2:2" x14ac:dyDescent="0.25">
      <c r="B1313" s="1">
        <v>43531</v>
      </c>
    </row>
    <row r="1314" spans="2:2" x14ac:dyDescent="0.25">
      <c r="B1314" s="1">
        <v>43532</v>
      </c>
    </row>
    <row r="1315" spans="2:2" x14ac:dyDescent="0.25">
      <c r="B1315" s="1">
        <v>43533</v>
      </c>
    </row>
    <row r="1316" spans="2:2" x14ac:dyDescent="0.25">
      <c r="B1316" s="1">
        <v>43534</v>
      </c>
    </row>
    <row r="1317" spans="2:2" x14ac:dyDescent="0.25">
      <c r="B1317" s="1">
        <v>43535</v>
      </c>
    </row>
    <row r="1318" spans="2:2" x14ac:dyDescent="0.25">
      <c r="B1318" s="1">
        <v>43536</v>
      </c>
    </row>
    <row r="1319" spans="2:2" x14ac:dyDescent="0.25">
      <c r="B1319" s="1">
        <v>43537</v>
      </c>
    </row>
    <row r="1320" spans="2:2" x14ac:dyDescent="0.25">
      <c r="B1320" s="1">
        <v>43538</v>
      </c>
    </row>
    <row r="1321" spans="2:2" x14ac:dyDescent="0.25">
      <c r="B1321" s="1">
        <v>43539</v>
      </c>
    </row>
    <row r="1322" spans="2:2" x14ac:dyDescent="0.25">
      <c r="B1322" s="1">
        <v>43540</v>
      </c>
    </row>
    <row r="1323" spans="2:2" x14ac:dyDescent="0.25">
      <c r="B1323" s="1">
        <v>43541</v>
      </c>
    </row>
    <row r="1324" spans="2:2" x14ac:dyDescent="0.25">
      <c r="B1324" s="1">
        <v>43542</v>
      </c>
    </row>
    <row r="1325" spans="2:2" x14ac:dyDescent="0.25">
      <c r="B1325" s="1">
        <v>43543</v>
      </c>
    </row>
    <row r="1326" spans="2:2" x14ac:dyDescent="0.25">
      <c r="B1326" s="1">
        <v>43544</v>
      </c>
    </row>
    <row r="1327" spans="2:2" x14ac:dyDescent="0.25">
      <c r="B1327" s="1">
        <v>43545</v>
      </c>
    </row>
    <row r="1328" spans="2:2" x14ac:dyDescent="0.25">
      <c r="B1328" s="1">
        <v>43546</v>
      </c>
    </row>
    <row r="1329" spans="2:2" x14ac:dyDescent="0.25">
      <c r="B1329" s="1">
        <v>43547</v>
      </c>
    </row>
    <row r="1330" spans="2:2" x14ac:dyDescent="0.25">
      <c r="B1330" s="1">
        <v>43548</v>
      </c>
    </row>
    <row r="1331" spans="2:2" x14ac:dyDescent="0.25">
      <c r="B1331" s="1">
        <v>43549</v>
      </c>
    </row>
    <row r="1332" spans="2:2" x14ac:dyDescent="0.25">
      <c r="B1332" s="1">
        <v>43550</v>
      </c>
    </row>
    <row r="1333" spans="2:2" x14ac:dyDescent="0.25">
      <c r="B1333" s="1">
        <v>43551</v>
      </c>
    </row>
    <row r="1334" spans="2:2" x14ac:dyDescent="0.25">
      <c r="B1334" s="1">
        <v>43552</v>
      </c>
    </row>
    <row r="1335" spans="2:2" x14ac:dyDescent="0.25">
      <c r="B1335" s="1">
        <v>43553</v>
      </c>
    </row>
    <row r="1336" spans="2:2" x14ac:dyDescent="0.25">
      <c r="B1336" s="1">
        <v>43554</v>
      </c>
    </row>
    <row r="1337" spans="2:2" x14ac:dyDescent="0.25">
      <c r="B1337" s="1">
        <v>43555</v>
      </c>
    </row>
    <row r="1338" spans="2:2" x14ac:dyDescent="0.25">
      <c r="B1338" s="1">
        <v>43556</v>
      </c>
    </row>
    <row r="1339" spans="2:2" x14ac:dyDescent="0.25">
      <c r="B1339" s="1">
        <v>43557</v>
      </c>
    </row>
    <row r="1340" spans="2:2" x14ac:dyDescent="0.25">
      <c r="B1340" s="1">
        <v>43558</v>
      </c>
    </row>
    <row r="1341" spans="2:2" x14ac:dyDescent="0.25">
      <c r="B1341" s="1">
        <v>43559</v>
      </c>
    </row>
    <row r="1342" spans="2:2" x14ac:dyDescent="0.25">
      <c r="B1342" s="1">
        <v>43560</v>
      </c>
    </row>
    <row r="1343" spans="2:2" x14ac:dyDescent="0.25">
      <c r="B1343" s="1">
        <v>43561</v>
      </c>
    </row>
    <row r="1344" spans="2:2" x14ac:dyDescent="0.25">
      <c r="B1344" s="1">
        <v>43562</v>
      </c>
    </row>
    <row r="1345" spans="2:2" x14ac:dyDescent="0.25">
      <c r="B1345" s="1">
        <v>43563</v>
      </c>
    </row>
    <row r="1346" spans="2:2" x14ac:dyDescent="0.25">
      <c r="B1346" s="1">
        <v>43564</v>
      </c>
    </row>
    <row r="1347" spans="2:2" x14ac:dyDescent="0.25">
      <c r="B1347" s="1">
        <v>43565</v>
      </c>
    </row>
    <row r="1348" spans="2:2" x14ac:dyDescent="0.25">
      <c r="B1348" s="1">
        <v>43566</v>
      </c>
    </row>
    <row r="1349" spans="2:2" x14ac:dyDescent="0.25">
      <c r="B1349" s="1">
        <v>43567</v>
      </c>
    </row>
    <row r="1350" spans="2:2" x14ac:dyDescent="0.25">
      <c r="B1350" s="1">
        <v>43568</v>
      </c>
    </row>
    <row r="1351" spans="2:2" x14ac:dyDescent="0.25">
      <c r="B1351" s="1">
        <v>43569</v>
      </c>
    </row>
    <row r="1352" spans="2:2" x14ac:dyDescent="0.25">
      <c r="B1352" s="1">
        <v>43570</v>
      </c>
    </row>
    <row r="1353" spans="2:2" x14ac:dyDescent="0.25">
      <c r="B1353" s="1">
        <v>43571</v>
      </c>
    </row>
    <row r="1354" spans="2:2" x14ac:dyDescent="0.25">
      <c r="B1354" s="1">
        <v>43572</v>
      </c>
    </row>
    <row r="1355" spans="2:2" x14ac:dyDescent="0.25">
      <c r="B1355" s="1">
        <v>43573</v>
      </c>
    </row>
    <row r="1356" spans="2:2" x14ac:dyDescent="0.25">
      <c r="B1356" s="1">
        <v>43574</v>
      </c>
    </row>
    <row r="1357" spans="2:2" x14ac:dyDescent="0.25">
      <c r="B1357" s="1">
        <v>43575</v>
      </c>
    </row>
    <row r="1358" spans="2:2" x14ac:dyDescent="0.25">
      <c r="B1358" s="1">
        <v>43576</v>
      </c>
    </row>
    <row r="1359" spans="2:2" x14ac:dyDescent="0.25">
      <c r="B1359" s="1">
        <v>43577</v>
      </c>
    </row>
    <row r="1360" spans="2:2" x14ac:dyDescent="0.25">
      <c r="B1360" s="1">
        <v>43578</v>
      </c>
    </row>
    <row r="1361" spans="2:2" x14ac:dyDescent="0.25">
      <c r="B1361" s="1">
        <v>43579</v>
      </c>
    </row>
    <row r="1362" spans="2:2" x14ac:dyDescent="0.25">
      <c r="B1362" s="1">
        <v>43580</v>
      </c>
    </row>
    <row r="1363" spans="2:2" x14ac:dyDescent="0.25">
      <c r="B1363" s="1">
        <v>43581</v>
      </c>
    </row>
    <row r="1364" spans="2:2" x14ac:dyDescent="0.25">
      <c r="B1364" s="1">
        <v>43582</v>
      </c>
    </row>
    <row r="1365" spans="2:2" x14ac:dyDescent="0.25">
      <c r="B1365" s="1">
        <v>43583</v>
      </c>
    </row>
    <row r="1366" spans="2:2" x14ac:dyDescent="0.25">
      <c r="B1366" s="1">
        <v>43584</v>
      </c>
    </row>
    <row r="1367" spans="2:2" x14ac:dyDescent="0.25">
      <c r="B1367" s="1">
        <v>43585</v>
      </c>
    </row>
    <row r="1368" spans="2:2" x14ac:dyDescent="0.25">
      <c r="B1368" s="1">
        <v>43586</v>
      </c>
    </row>
    <row r="1369" spans="2:2" x14ac:dyDescent="0.25">
      <c r="B1369" s="1">
        <v>43587</v>
      </c>
    </row>
    <row r="1370" spans="2:2" x14ac:dyDescent="0.25">
      <c r="B1370" s="1">
        <v>43588</v>
      </c>
    </row>
    <row r="1371" spans="2:2" x14ac:dyDescent="0.25">
      <c r="B1371" s="1">
        <v>43589</v>
      </c>
    </row>
    <row r="1372" spans="2:2" x14ac:dyDescent="0.25">
      <c r="B1372" s="1">
        <v>43590</v>
      </c>
    </row>
    <row r="1373" spans="2:2" x14ac:dyDescent="0.25">
      <c r="B1373" s="1">
        <v>43591</v>
      </c>
    </row>
    <row r="1374" spans="2:2" x14ac:dyDescent="0.25">
      <c r="B1374" s="1">
        <v>43592</v>
      </c>
    </row>
    <row r="1375" spans="2:2" x14ac:dyDescent="0.25">
      <c r="B1375" s="1">
        <v>43593</v>
      </c>
    </row>
    <row r="1376" spans="2:2" x14ac:dyDescent="0.25">
      <c r="B1376" s="1">
        <v>43594</v>
      </c>
    </row>
    <row r="1377" spans="2:2" x14ac:dyDescent="0.25">
      <c r="B1377" s="1">
        <v>43595</v>
      </c>
    </row>
    <row r="1378" spans="2:2" x14ac:dyDescent="0.25">
      <c r="B1378" s="1">
        <v>43596</v>
      </c>
    </row>
    <row r="1379" spans="2:2" x14ac:dyDescent="0.25">
      <c r="B1379" s="1">
        <v>43597</v>
      </c>
    </row>
    <row r="1380" spans="2:2" x14ac:dyDescent="0.25">
      <c r="B1380" s="1">
        <v>43598</v>
      </c>
    </row>
    <row r="1381" spans="2:2" x14ac:dyDescent="0.25">
      <c r="B1381" s="1">
        <v>43599</v>
      </c>
    </row>
    <row r="1382" spans="2:2" x14ac:dyDescent="0.25">
      <c r="B1382" s="1">
        <v>43600</v>
      </c>
    </row>
    <row r="1383" spans="2:2" x14ac:dyDescent="0.25">
      <c r="B1383" s="1">
        <v>43601</v>
      </c>
    </row>
    <row r="1384" spans="2:2" x14ac:dyDescent="0.25">
      <c r="B1384" s="1">
        <v>43602</v>
      </c>
    </row>
    <row r="1385" spans="2:2" x14ac:dyDescent="0.25">
      <c r="B1385" s="1">
        <v>43603</v>
      </c>
    </row>
    <row r="1386" spans="2:2" x14ac:dyDescent="0.25">
      <c r="B1386" s="1">
        <v>43604</v>
      </c>
    </row>
    <row r="1387" spans="2:2" x14ac:dyDescent="0.25">
      <c r="B1387" s="1">
        <v>43605</v>
      </c>
    </row>
    <row r="1388" spans="2:2" x14ac:dyDescent="0.25">
      <c r="B1388" s="1">
        <v>43606</v>
      </c>
    </row>
    <row r="1389" spans="2:2" x14ac:dyDescent="0.25">
      <c r="B1389" s="1">
        <v>43607</v>
      </c>
    </row>
    <row r="1390" spans="2:2" x14ac:dyDescent="0.25">
      <c r="B1390" s="1">
        <v>43608</v>
      </c>
    </row>
    <row r="1391" spans="2:2" x14ac:dyDescent="0.25">
      <c r="B1391" s="1">
        <v>43609</v>
      </c>
    </row>
    <row r="1392" spans="2:2" x14ac:dyDescent="0.25">
      <c r="B1392" s="1">
        <v>43610</v>
      </c>
    </row>
    <row r="1393" spans="2:2" x14ac:dyDescent="0.25">
      <c r="B1393" s="1">
        <v>43611</v>
      </c>
    </row>
    <row r="1394" spans="2:2" x14ac:dyDescent="0.25">
      <c r="B1394" s="1">
        <v>43612</v>
      </c>
    </row>
    <row r="1395" spans="2:2" x14ac:dyDescent="0.25">
      <c r="B1395" s="1">
        <v>43613</v>
      </c>
    </row>
    <row r="1396" spans="2:2" x14ac:dyDescent="0.25">
      <c r="B1396" s="1">
        <v>43614</v>
      </c>
    </row>
    <row r="1397" spans="2:2" x14ac:dyDescent="0.25">
      <c r="B1397" s="1">
        <v>43615</v>
      </c>
    </row>
    <row r="1398" spans="2:2" x14ac:dyDescent="0.25">
      <c r="B1398" s="1">
        <v>43616</v>
      </c>
    </row>
    <row r="1399" spans="2:2" x14ac:dyDescent="0.25">
      <c r="B1399" s="1">
        <v>43617</v>
      </c>
    </row>
    <row r="1400" spans="2:2" x14ac:dyDescent="0.25">
      <c r="B1400" s="1">
        <v>43618</v>
      </c>
    </row>
    <row r="1401" spans="2:2" x14ac:dyDescent="0.25">
      <c r="B1401" s="1">
        <v>43619</v>
      </c>
    </row>
    <row r="1402" spans="2:2" x14ac:dyDescent="0.25">
      <c r="B1402" s="1">
        <v>43620</v>
      </c>
    </row>
    <row r="1403" spans="2:2" x14ac:dyDescent="0.25">
      <c r="B1403" s="1">
        <v>43621</v>
      </c>
    </row>
    <row r="1404" spans="2:2" x14ac:dyDescent="0.25">
      <c r="B1404" s="1">
        <v>43622</v>
      </c>
    </row>
    <row r="1405" spans="2:2" x14ac:dyDescent="0.25">
      <c r="B1405" s="1">
        <v>43623</v>
      </c>
    </row>
    <row r="1406" spans="2:2" x14ac:dyDescent="0.25">
      <c r="B1406" s="1">
        <v>43624</v>
      </c>
    </row>
    <row r="1407" spans="2:2" x14ac:dyDescent="0.25">
      <c r="B1407" s="1">
        <v>43625</v>
      </c>
    </row>
    <row r="1408" spans="2:2" x14ac:dyDescent="0.25">
      <c r="B1408" s="1">
        <v>43626</v>
      </c>
    </row>
    <row r="1409" spans="2:2" x14ac:dyDescent="0.25">
      <c r="B1409" s="1">
        <v>43627</v>
      </c>
    </row>
    <row r="1410" spans="2:2" x14ac:dyDescent="0.25">
      <c r="B1410" s="1">
        <v>43628</v>
      </c>
    </row>
    <row r="1411" spans="2:2" x14ac:dyDescent="0.25">
      <c r="B1411" s="1">
        <v>43629</v>
      </c>
    </row>
    <row r="1412" spans="2:2" x14ac:dyDescent="0.25">
      <c r="B1412" s="1">
        <v>43630</v>
      </c>
    </row>
    <row r="1413" spans="2:2" x14ac:dyDescent="0.25">
      <c r="B1413" s="1">
        <v>43631</v>
      </c>
    </row>
    <row r="1414" spans="2:2" x14ac:dyDescent="0.25">
      <c r="B1414" s="1">
        <v>43632</v>
      </c>
    </row>
    <row r="1415" spans="2:2" x14ac:dyDescent="0.25">
      <c r="B1415" s="1">
        <v>43633</v>
      </c>
    </row>
    <row r="1416" spans="2:2" x14ac:dyDescent="0.25">
      <c r="B1416" s="1">
        <v>43634</v>
      </c>
    </row>
    <row r="1417" spans="2:2" x14ac:dyDescent="0.25">
      <c r="B1417" s="1">
        <v>43635</v>
      </c>
    </row>
    <row r="1418" spans="2:2" x14ac:dyDescent="0.25">
      <c r="B1418" s="1">
        <v>43636</v>
      </c>
    </row>
    <row r="1419" spans="2:2" x14ac:dyDescent="0.25">
      <c r="B1419" s="1">
        <v>43637</v>
      </c>
    </row>
    <row r="1420" spans="2:2" x14ac:dyDescent="0.25">
      <c r="B1420" s="1">
        <v>43638</v>
      </c>
    </row>
    <row r="1421" spans="2:2" x14ac:dyDescent="0.25">
      <c r="B1421" s="1">
        <v>43639</v>
      </c>
    </row>
    <row r="1422" spans="2:2" x14ac:dyDescent="0.25">
      <c r="B1422" s="1">
        <v>43640</v>
      </c>
    </row>
    <row r="1423" spans="2:2" x14ac:dyDescent="0.25">
      <c r="B1423" s="1">
        <v>43641</v>
      </c>
    </row>
    <row r="1424" spans="2:2" x14ac:dyDescent="0.25">
      <c r="B1424" s="1">
        <v>43642</v>
      </c>
    </row>
    <row r="1425" spans="2:2" x14ac:dyDescent="0.25">
      <c r="B1425" s="1">
        <v>43643</v>
      </c>
    </row>
    <row r="1426" spans="2:2" x14ac:dyDescent="0.25">
      <c r="B1426" s="1">
        <v>43644</v>
      </c>
    </row>
    <row r="1427" spans="2:2" x14ac:dyDescent="0.25">
      <c r="B1427" s="1">
        <v>43645</v>
      </c>
    </row>
    <row r="1428" spans="2:2" x14ac:dyDescent="0.25">
      <c r="B1428" s="1">
        <v>43646</v>
      </c>
    </row>
    <row r="1429" spans="2:2" x14ac:dyDescent="0.25">
      <c r="B1429" s="1">
        <v>43647</v>
      </c>
    </row>
    <row r="1430" spans="2:2" x14ac:dyDescent="0.25">
      <c r="B1430" s="1">
        <v>43648</v>
      </c>
    </row>
    <row r="1431" spans="2:2" x14ac:dyDescent="0.25">
      <c r="B1431" s="1">
        <v>43649</v>
      </c>
    </row>
    <row r="1432" spans="2:2" x14ac:dyDescent="0.25">
      <c r="B1432" s="1">
        <v>43650</v>
      </c>
    </row>
    <row r="1433" spans="2:2" x14ac:dyDescent="0.25">
      <c r="B1433" s="1">
        <v>43651</v>
      </c>
    </row>
    <row r="1434" spans="2:2" x14ac:dyDescent="0.25">
      <c r="B1434" s="1">
        <v>43652</v>
      </c>
    </row>
    <row r="1435" spans="2:2" x14ac:dyDescent="0.25">
      <c r="B1435" s="1">
        <v>43653</v>
      </c>
    </row>
    <row r="1436" spans="2:2" x14ac:dyDescent="0.25">
      <c r="B1436" s="1">
        <v>43654</v>
      </c>
    </row>
    <row r="1437" spans="2:2" x14ac:dyDescent="0.25">
      <c r="B1437" s="1">
        <v>43655</v>
      </c>
    </row>
    <row r="1438" spans="2:2" x14ac:dyDescent="0.25">
      <c r="B1438" s="1">
        <v>43656</v>
      </c>
    </row>
    <row r="1439" spans="2:2" x14ac:dyDescent="0.25">
      <c r="B1439" s="1">
        <v>43657</v>
      </c>
    </row>
    <row r="1440" spans="2:2" x14ac:dyDescent="0.25">
      <c r="B1440" s="1">
        <v>43658</v>
      </c>
    </row>
    <row r="1441" spans="2:2" x14ac:dyDescent="0.25">
      <c r="B1441" s="1">
        <v>43659</v>
      </c>
    </row>
    <row r="1442" spans="2:2" x14ac:dyDescent="0.25">
      <c r="B1442" s="1">
        <v>43660</v>
      </c>
    </row>
    <row r="1443" spans="2:2" x14ac:dyDescent="0.25">
      <c r="B1443" s="1">
        <v>43661</v>
      </c>
    </row>
    <row r="1444" spans="2:2" x14ac:dyDescent="0.25">
      <c r="B1444" s="1">
        <v>43662</v>
      </c>
    </row>
    <row r="1445" spans="2:2" x14ac:dyDescent="0.25">
      <c r="B1445" s="1">
        <v>43663</v>
      </c>
    </row>
    <row r="1446" spans="2:2" x14ac:dyDescent="0.25">
      <c r="B1446" s="1">
        <v>43664</v>
      </c>
    </row>
    <row r="1447" spans="2:2" x14ac:dyDescent="0.25">
      <c r="B1447" s="1">
        <v>43665</v>
      </c>
    </row>
    <row r="1448" spans="2:2" x14ac:dyDescent="0.25">
      <c r="B1448" s="1">
        <v>43666</v>
      </c>
    </row>
    <row r="1449" spans="2:2" x14ac:dyDescent="0.25">
      <c r="B1449" s="1">
        <v>43667</v>
      </c>
    </row>
    <row r="1450" spans="2:2" x14ac:dyDescent="0.25">
      <c r="B1450" s="1">
        <v>43668</v>
      </c>
    </row>
    <row r="1451" spans="2:2" x14ac:dyDescent="0.25">
      <c r="B1451" s="1">
        <v>43669</v>
      </c>
    </row>
    <row r="1452" spans="2:2" x14ac:dyDescent="0.25">
      <c r="B1452" s="1">
        <v>43670</v>
      </c>
    </row>
    <row r="1453" spans="2:2" x14ac:dyDescent="0.25">
      <c r="B1453" s="1">
        <v>43671</v>
      </c>
    </row>
    <row r="1454" spans="2:2" x14ac:dyDescent="0.25">
      <c r="B1454" s="1">
        <v>43672</v>
      </c>
    </row>
    <row r="1455" spans="2:2" x14ac:dyDescent="0.25">
      <c r="B1455" s="1">
        <v>43673</v>
      </c>
    </row>
    <row r="1456" spans="2:2" x14ac:dyDescent="0.25">
      <c r="B1456" s="1">
        <v>43674</v>
      </c>
    </row>
    <row r="1457" spans="2:2" x14ac:dyDescent="0.25">
      <c r="B1457" s="1">
        <v>43675</v>
      </c>
    </row>
    <row r="1458" spans="2:2" x14ac:dyDescent="0.25">
      <c r="B1458" s="1">
        <v>43676</v>
      </c>
    </row>
    <row r="1459" spans="2:2" x14ac:dyDescent="0.25">
      <c r="B1459" s="1">
        <v>43677</v>
      </c>
    </row>
    <row r="1460" spans="2:2" x14ac:dyDescent="0.25">
      <c r="B1460" s="1">
        <v>43678</v>
      </c>
    </row>
    <row r="1461" spans="2:2" x14ac:dyDescent="0.25">
      <c r="B1461" s="1">
        <v>43679</v>
      </c>
    </row>
    <row r="1462" spans="2:2" x14ac:dyDescent="0.25">
      <c r="B1462" s="1">
        <v>43680</v>
      </c>
    </row>
    <row r="1463" spans="2:2" x14ac:dyDescent="0.25">
      <c r="B1463" s="1">
        <v>43681</v>
      </c>
    </row>
    <row r="1464" spans="2:2" x14ac:dyDescent="0.25">
      <c r="B1464" s="1">
        <v>43682</v>
      </c>
    </row>
    <row r="1465" spans="2:2" x14ac:dyDescent="0.25">
      <c r="B1465" s="1">
        <v>43683</v>
      </c>
    </row>
    <row r="1466" spans="2:2" x14ac:dyDescent="0.25">
      <c r="B1466" s="1">
        <v>43684</v>
      </c>
    </row>
    <row r="1467" spans="2:2" x14ac:dyDescent="0.25">
      <c r="B1467" s="1">
        <v>43685</v>
      </c>
    </row>
    <row r="1468" spans="2:2" x14ac:dyDescent="0.25">
      <c r="B1468" s="1">
        <v>43686</v>
      </c>
    </row>
    <row r="1469" spans="2:2" x14ac:dyDescent="0.25">
      <c r="B1469" s="1">
        <v>43687</v>
      </c>
    </row>
    <row r="1470" spans="2:2" x14ac:dyDescent="0.25">
      <c r="B1470" s="1">
        <v>43688</v>
      </c>
    </row>
    <row r="1471" spans="2:2" x14ac:dyDescent="0.25">
      <c r="B1471" s="1">
        <v>43689</v>
      </c>
    </row>
    <row r="1472" spans="2:2" x14ac:dyDescent="0.25">
      <c r="B1472" s="1">
        <v>43690</v>
      </c>
    </row>
    <row r="1473" spans="2:2" x14ac:dyDescent="0.25">
      <c r="B1473" s="1">
        <v>43691</v>
      </c>
    </row>
    <row r="1474" spans="2:2" x14ac:dyDescent="0.25">
      <c r="B1474" s="1">
        <v>43692</v>
      </c>
    </row>
    <row r="1475" spans="2:2" x14ac:dyDescent="0.25">
      <c r="B1475" s="1">
        <v>43693</v>
      </c>
    </row>
    <row r="1476" spans="2:2" x14ac:dyDescent="0.25">
      <c r="B1476" s="1">
        <v>43694</v>
      </c>
    </row>
    <row r="1477" spans="2:2" x14ac:dyDescent="0.25">
      <c r="B1477" s="1">
        <v>43695</v>
      </c>
    </row>
    <row r="1478" spans="2:2" x14ac:dyDescent="0.25">
      <c r="B1478" s="1">
        <v>43696</v>
      </c>
    </row>
    <row r="1479" spans="2:2" x14ac:dyDescent="0.25">
      <c r="B1479" s="1">
        <v>43697</v>
      </c>
    </row>
    <row r="1480" spans="2:2" x14ac:dyDescent="0.25">
      <c r="B1480" s="1">
        <v>43698</v>
      </c>
    </row>
    <row r="1481" spans="2:2" x14ac:dyDescent="0.25">
      <c r="B1481" s="1">
        <v>43699</v>
      </c>
    </row>
    <row r="1482" spans="2:2" x14ac:dyDescent="0.25">
      <c r="B1482" s="1">
        <v>43700</v>
      </c>
    </row>
    <row r="1483" spans="2:2" x14ac:dyDescent="0.25">
      <c r="B1483" s="1">
        <v>43701</v>
      </c>
    </row>
    <row r="1484" spans="2:2" x14ac:dyDescent="0.25">
      <c r="B1484" s="1">
        <v>43702</v>
      </c>
    </row>
    <row r="1485" spans="2:2" x14ac:dyDescent="0.25">
      <c r="B1485" s="1">
        <v>43703</v>
      </c>
    </row>
    <row r="1486" spans="2:2" x14ac:dyDescent="0.25">
      <c r="B1486" s="1">
        <v>43704</v>
      </c>
    </row>
    <row r="1487" spans="2:2" x14ac:dyDescent="0.25">
      <c r="B1487" s="1">
        <v>43705</v>
      </c>
    </row>
    <row r="1488" spans="2:2" x14ac:dyDescent="0.25">
      <c r="B1488" s="1">
        <v>43706</v>
      </c>
    </row>
    <row r="1489" spans="2:2" x14ac:dyDescent="0.25">
      <c r="B1489" s="1">
        <v>43707</v>
      </c>
    </row>
    <row r="1490" spans="2:2" x14ac:dyDescent="0.25">
      <c r="B1490" s="1">
        <v>43708</v>
      </c>
    </row>
    <row r="1491" spans="2:2" x14ac:dyDescent="0.25">
      <c r="B1491" s="1">
        <v>43709</v>
      </c>
    </row>
    <row r="1492" spans="2:2" x14ac:dyDescent="0.25">
      <c r="B1492" s="1">
        <v>43710</v>
      </c>
    </row>
    <row r="1493" spans="2:2" x14ac:dyDescent="0.25">
      <c r="B1493" s="1">
        <v>43711</v>
      </c>
    </row>
    <row r="1494" spans="2:2" x14ac:dyDescent="0.25">
      <c r="B1494" s="1">
        <v>43712</v>
      </c>
    </row>
    <row r="1495" spans="2:2" x14ac:dyDescent="0.25">
      <c r="B1495" s="1">
        <v>43713</v>
      </c>
    </row>
    <row r="1496" spans="2:2" x14ac:dyDescent="0.25">
      <c r="B1496" s="1">
        <v>43714</v>
      </c>
    </row>
    <row r="1497" spans="2:2" x14ac:dyDescent="0.25">
      <c r="B1497" s="1">
        <v>43715</v>
      </c>
    </row>
    <row r="1498" spans="2:2" x14ac:dyDescent="0.25">
      <c r="B1498" s="1">
        <v>43716</v>
      </c>
    </row>
    <row r="1499" spans="2:2" x14ac:dyDescent="0.25">
      <c r="B1499" s="1">
        <v>43717</v>
      </c>
    </row>
    <row r="1500" spans="2:2" x14ac:dyDescent="0.25">
      <c r="B1500" s="1">
        <v>43718</v>
      </c>
    </row>
    <row r="1501" spans="2:2" x14ac:dyDescent="0.25">
      <c r="B1501" s="1">
        <v>43719</v>
      </c>
    </row>
    <row r="1502" spans="2:2" x14ac:dyDescent="0.25">
      <c r="B1502" s="1">
        <v>43720</v>
      </c>
    </row>
    <row r="1503" spans="2:2" x14ac:dyDescent="0.25">
      <c r="B1503" s="1">
        <v>43721</v>
      </c>
    </row>
    <row r="1504" spans="2:2" x14ac:dyDescent="0.25">
      <c r="B1504" s="1">
        <v>43722</v>
      </c>
    </row>
    <row r="1505" spans="2:2" x14ac:dyDescent="0.25">
      <c r="B1505" s="1">
        <v>43723</v>
      </c>
    </row>
    <row r="1506" spans="2:2" x14ac:dyDescent="0.25">
      <c r="B1506" s="1">
        <v>43724</v>
      </c>
    </row>
    <row r="1507" spans="2:2" x14ac:dyDescent="0.25">
      <c r="B1507" s="1">
        <v>43725</v>
      </c>
    </row>
    <row r="1508" spans="2:2" x14ac:dyDescent="0.25">
      <c r="B1508" s="1">
        <v>43726</v>
      </c>
    </row>
    <row r="1509" spans="2:2" x14ac:dyDescent="0.25">
      <c r="B1509" s="1">
        <v>43727</v>
      </c>
    </row>
    <row r="1510" spans="2:2" x14ac:dyDescent="0.25">
      <c r="B1510" s="1">
        <v>43728</v>
      </c>
    </row>
    <row r="1511" spans="2:2" x14ac:dyDescent="0.25">
      <c r="B1511" s="1">
        <v>43729</v>
      </c>
    </row>
    <row r="1512" spans="2:2" x14ac:dyDescent="0.25">
      <c r="B1512" s="1">
        <v>43730</v>
      </c>
    </row>
    <row r="1513" spans="2:2" x14ac:dyDescent="0.25">
      <c r="B1513" s="1">
        <v>43731</v>
      </c>
    </row>
    <row r="1514" spans="2:2" x14ac:dyDescent="0.25">
      <c r="B1514" s="1">
        <v>43732</v>
      </c>
    </row>
    <row r="1515" spans="2:2" x14ac:dyDescent="0.25">
      <c r="B1515" s="1">
        <v>43733</v>
      </c>
    </row>
    <row r="1516" spans="2:2" x14ac:dyDescent="0.25">
      <c r="B1516" s="1">
        <v>43734</v>
      </c>
    </row>
    <row r="1517" spans="2:2" x14ac:dyDescent="0.25">
      <c r="B1517" s="1">
        <v>43735</v>
      </c>
    </row>
    <row r="1518" spans="2:2" x14ac:dyDescent="0.25">
      <c r="B1518" s="1">
        <v>43736</v>
      </c>
    </row>
    <row r="1519" spans="2:2" x14ac:dyDescent="0.25">
      <c r="B1519" s="1">
        <v>43737</v>
      </c>
    </row>
    <row r="1520" spans="2:2" x14ac:dyDescent="0.25">
      <c r="B1520" s="1">
        <v>43738</v>
      </c>
    </row>
    <row r="1521" spans="2:2" x14ac:dyDescent="0.25">
      <c r="B1521" s="1">
        <v>43739</v>
      </c>
    </row>
    <row r="1522" spans="2:2" x14ac:dyDescent="0.25">
      <c r="B1522" s="1">
        <v>43740</v>
      </c>
    </row>
    <row r="1523" spans="2:2" x14ac:dyDescent="0.25">
      <c r="B1523" s="1">
        <v>43741</v>
      </c>
    </row>
    <row r="1524" spans="2:2" x14ac:dyDescent="0.25">
      <c r="B1524" s="1">
        <v>43742</v>
      </c>
    </row>
    <row r="1525" spans="2:2" x14ac:dyDescent="0.25">
      <c r="B1525" s="1">
        <v>43743</v>
      </c>
    </row>
    <row r="1526" spans="2:2" x14ac:dyDescent="0.25">
      <c r="B1526" s="1">
        <v>43744</v>
      </c>
    </row>
    <row r="1527" spans="2:2" x14ac:dyDescent="0.25">
      <c r="B1527" s="1">
        <v>43745</v>
      </c>
    </row>
    <row r="1528" spans="2:2" x14ac:dyDescent="0.25">
      <c r="B1528" s="1">
        <v>43746</v>
      </c>
    </row>
    <row r="1529" spans="2:2" x14ac:dyDescent="0.25">
      <c r="B1529" s="1">
        <v>43747</v>
      </c>
    </row>
    <row r="1530" spans="2:2" x14ac:dyDescent="0.25">
      <c r="B1530" s="1">
        <v>43748</v>
      </c>
    </row>
    <row r="1531" spans="2:2" x14ac:dyDescent="0.25">
      <c r="B1531" s="1">
        <v>43749</v>
      </c>
    </row>
    <row r="1532" spans="2:2" x14ac:dyDescent="0.25">
      <c r="B1532" s="1">
        <v>43750</v>
      </c>
    </row>
    <row r="1533" spans="2:2" x14ac:dyDescent="0.25">
      <c r="B1533" s="1">
        <v>43751</v>
      </c>
    </row>
    <row r="1534" spans="2:2" x14ac:dyDescent="0.25">
      <c r="B1534" s="1">
        <v>43752</v>
      </c>
    </row>
    <row r="1535" spans="2:2" x14ac:dyDescent="0.25">
      <c r="B1535" s="1">
        <v>43753</v>
      </c>
    </row>
    <row r="1536" spans="2:2" x14ac:dyDescent="0.25">
      <c r="B1536" s="1">
        <v>43754</v>
      </c>
    </row>
    <row r="1537" spans="2:2" x14ac:dyDescent="0.25">
      <c r="B1537" s="1">
        <v>43755</v>
      </c>
    </row>
    <row r="1538" spans="2:2" x14ac:dyDescent="0.25">
      <c r="B1538" s="1">
        <v>43756</v>
      </c>
    </row>
    <row r="1539" spans="2:2" x14ac:dyDescent="0.25">
      <c r="B1539" s="1">
        <v>43757</v>
      </c>
    </row>
    <row r="1540" spans="2:2" x14ac:dyDescent="0.25">
      <c r="B1540" s="1">
        <v>43758</v>
      </c>
    </row>
    <row r="1541" spans="2:2" x14ac:dyDescent="0.25">
      <c r="B1541" s="1">
        <v>43759</v>
      </c>
    </row>
    <row r="1542" spans="2:2" x14ac:dyDescent="0.25">
      <c r="B1542" s="1">
        <v>43760</v>
      </c>
    </row>
    <row r="1543" spans="2:2" x14ac:dyDescent="0.25">
      <c r="B1543" s="1">
        <v>43761</v>
      </c>
    </row>
    <row r="1544" spans="2:2" x14ac:dyDescent="0.25">
      <c r="B1544" s="1">
        <v>43762</v>
      </c>
    </row>
    <row r="1545" spans="2:2" x14ac:dyDescent="0.25">
      <c r="B1545" s="1">
        <v>43763</v>
      </c>
    </row>
    <row r="1546" spans="2:2" x14ac:dyDescent="0.25">
      <c r="B1546" s="1">
        <v>43764</v>
      </c>
    </row>
    <row r="1547" spans="2:2" x14ac:dyDescent="0.25">
      <c r="B1547" s="1">
        <v>43765</v>
      </c>
    </row>
    <row r="1548" spans="2:2" x14ac:dyDescent="0.25">
      <c r="B1548" s="1">
        <v>43766</v>
      </c>
    </row>
    <row r="1549" spans="2:2" x14ac:dyDescent="0.25">
      <c r="B1549" s="1">
        <v>43767</v>
      </c>
    </row>
    <row r="1550" spans="2:2" x14ac:dyDescent="0.25">
      <c r="B1550" s="1">
        <v>43768</v>
      </c>
    </row>
    <row r="1551" spans="2:2" x14ac:dyDescent="0.25">
      <c r="B1551" s="1">
        <v>43769</v>
      </c>
    </row>
    <row r="1552" spans="2:2" x14ac:dyDescent="0.25">
      <c r="B1552" s="1">
        <v>43770</v>
      </c>
    </row>
    <row r="1553" spans="2:2" x14ac:dyDescent="0.25">
      <c r="B1553" s="1">
        <v>43771</v>
      </c>
    </row>
    <row r="1554" spans="2:2" x14ac:dyDescent="0.25">
      <c r="B1554" s="1">
        <v>43772</v>
      </c>
    </row>
    <row r="1555" spans="2:2" x14ac:dyDescent="0.25">
      <c r="B1555" s="1">
        <v>43773</v>
      </c>
    </row>
    <row r="1556" spans="2:2" x14ac:dyDescent="0.25">
      <c r="B1556" s="1">
        <v>43774</v>
      </c>
    </row>
    <row r="1557" spans="2:2" x14ac:dyDescent="0.25">
      <c r="B1557" s="1">
        <v>43775</v>
      </c>
    </row>
    <row r="1558" spans="2:2" x14ac:dyDescent="0.25">
      <c r="B1558" s="1">
        <v>43776</v>
      </c>
    </row>
    <row r="1559" spans="2:2" x14ac:dyDescent="0.25">
      <c r="B1559" s="1">
        <v>43777</v>
      </c>
    </row>
    <row r="1560" spans="2:2" x14ac:dyDescent="0.25">
      <c r="B1560" s="1">
        <v>43778</v>
      </c>
    </row>
    <row r="1561" spans="2:2" x14ac:dyDescent="0.25">
      <c r="B1561" s="1">
        <v>43779</v>
      </c>
    </row>
    <row r="1562" spans="2:2" x14ac:dyDescent="0.25">
      <c r="B1562" s="1">
        <v>43780</v>
      </c>
    </row>
    <row r="1563" spans="2:2" x14ac:dyDescent="0.25">
      <c r="B1563" s="1">
        <v>43781</v>
      </c>
    </row>
    <row r="1564" spans="2:2" x14ac:dyDescent="0.25">
      <c r="B1564" s="1">
        <v>43782</v>
      </c>
    </row>
    <row r="1565" spans="2:2" x14ac:dyDescent="0.25">
      <c r="B1565" s="1">
        <v>43783</v>
      </c>
    </row>
    <row r="1566" spans="2:2" x14ac:dyDescent="0.25">
      <c r="B1566" s="1">
        <v>43784</v>
      </c>
    </row>
    <row r="1567" spans="2:2" x14ac:dyDescent="0.25">
      <c r="B1567" s="1">
        <v>43785</v>
      </c>
    </row>
    <row r="1568" spans="2:2" x14ac:dyDescent="0.25">
      <c r="B1568" s="1">
        <v>43786</v>
      </c>
    </row>
    <row r="1569" spans="2:2" x14ac:dyDescent="0.25">
      <c r="B1569" s="1">
        <v>43787</v>
      </c>
    </row>
    <row r="1570" spans="2:2" x14ac:dyDescent="0.25">
      <c r="B1570" s="1">
        <v>43788</v>
      </c>
    </row>
    <row r="1571" spans="2:2" x14ac:dyDescent="0.25">
      <c r="B1571" s="1">
        <v>43789</v>
      </c>
    </row>
    <row r="1572" spans="2:2" x14ac:dyDescent="0.25">
      <c r="B1572" s="1">
        <v>43790</v>
      </c>
    </row>
    <row r="1573" spans="2:2" x14ac:dyDescent="0.25">
      <c r="B1573" s="1">
        <v>43791</v>
      </c>
    </row>
    <row r="1574" spans="2:2" x14ac:dyDescent="0.25">
      <c r="B1574" s="1">
        <v>43792</v>
      </c>
    </row>
    <row r="1575" spans="2:2" x14ac:dyDescent="0.25">
      <c r="B1575" s="1">
        <v>43793</v>
      </c>
    </row>
    <row r="1576" spans="2:2" x14ac:dyDescent="0.25">
      <c r="B1576" s="1">
        <v>43794</v>
      </c>
    </row>
    <row r="1577" spans="2:2" x14ac:dyDescent="0.25">
      <c r="B1577" s="1">
        <v>43795</v>
      </c>
    </row>
    <row r="1578" spans="2:2" x14ac:dyDescent="0.25">
      <c r="B1578" s="1">
        <v>43796</v>
      </c>
    </row>
    <row r="1579" spans="2:2" x14ac:dyDescent="0.25">
      <c r="B1579" s="1">
        <v>43797</v>
      </c>
    </row>
    <row r="1580" spans="2:2" x14ac:dyDescent="0.25">
      <c r="B1580" s="1">
        <v>43798</v>
      </c>
    </row>
    <row r="1581" spans="2:2" x14ac:dyDescent="0.25">
      <c r="B1581" s="1">
        <v>43799</v>
      </c>
    </row>
    <row r="1582" spans="2:2" x14ac:dyDescent="0.25">
      <c r="B1582" s="1">
        <v>43800</v>
      </c>
    </row>
    <row r="1583" spans="2:2" x14ac:dyDescent="0.25">
      <c r="B1583" s="1">
        <v>43801</v>
      </c>
    </row>
    <row r="1584" spans="2:2" x14ac:dyDescent="0.25">
      <c r="B1584" s="1">
        <v>43802</v>
      </c>
    </row>
    <row r="1585" spans="2:2" x14ac:dyDescent="0.25">
      <c r="B1585" s="1">
        <v>43803</v>
      </c>
    </row>
    <row r="1586" spans="2:2" x14ac:dyDescent="0.25">
      <c r="B1586" s="1">
        <v>43804</v>
      </c>
    </row>
    <row r="1587" spans="2:2" x14ac:dyDescent="0.25">
      <c r="B1587" s="1">
        <v>43805</v>
      </c>
    </row>
    <row r="1588" spans="2:2" x14ac:dyDescent="0.25">
      <c r="B1588" s="1">
        <v>43806</v>
      </c>
    </row>
    <row r="1589" spans="2:2" x14ac:dyDescent="0.25">
      <c r="B1589" s="1">
        <v>43807</v>
      </c>
    </row>
    <row r="1590" spans="2:2" x14ac:dyDescent="0.25">
      <c r="B1590" s="1">
        <v>43808</v>
      </c>
    </row>
    <row r="1591" spans="2:2" x14ac:dyDescent="0.25">
      <c r="B1591" s="1">
        <v>43809</v>
      </c>
    </row>
    <row r="1592" spans="2:2" x14ac:dyDescent="0.25">
      <c r="B1592" s="1">
        <v>43810</v>
      </c>
    </row>
    <row r="1593" spans="2:2" x14ac:dyDescent="0.25">
      <c r="B1593" s="1">
        <v>43811</v>
      </c>
    </row>
    <row r="1594" spans="2:2" x14ac:dyDescent="0.25">
      <c r="B1594" s="1">
        <v>43812</v>
      </c>
    </row>
    <row r="1595" spans="2:2" x14ac:dyDescent="0.25">
      <c r="B1595" s="1">
        <v>43813</v>
      </c>
    </row>
    <row r="1596" spans="2:2" x14ac:dyDescent="0.25">
      <c r="B1596" s="1">
        <v>43814</v>
      </c>
    </row>
    <row r="1597" spans="2:2" x14ac:dyDescent="0.25">
      <c r="B1597" s="1">
        <v>43815</v>
      </c>
    </row>
    <row r="1598" spans="2:2" x14ac:dyDescent="0.25">
      <c r="B1598" s="1">
        <v>43816</v>
      </c>
    </row>
    <row r="1599" spans="2:2" x14ac:dyDescent="0.25">
      <c r="B1599" s="1">
        <v>43817</v>
      </c>
    </row>
    <row r="1600" spans="2:2" x14ac:dyDescent="0.25">
      <c r="B1600" s="1">
        <v>43818</v>
      </c>
    </row>
    <row r="1601" spans="2:2" x14ac:dyDescent="0.25">
      <c r="B1601" s="1">
        <v>43819</v>
      </c>
    </row>
    <row r="1602" spans="2:2" x14ac:dyDescent="0.25">
      <c r="B1602" s="1">
        <v>43820</v>
      </c>
    </row>
    <row r="1603" spans="2:2" x14ac:dyDescent="0.25">
      <c r="B1603" s="1">
        <v>43821</v>
      </c>
    </row>
    <row r="1604" spans="2:2" x14ac:dyDescent="0.25">
      <c r="B1604" s="1">
        <v>43822</v>
      </c>
    </row>
    <row r="1605" spans="2:2" x14ac:dyDescent="0.25">
      <c r="B1605" s="1">
        <v>43823</v>
      </c>
    </row>
    <row r="1606" spans="2:2" x14ac:dyDescent="0.25">
      <c r="B1606" s="1">
        <v>43824</v>
      </c>
    </row>
    <row r="1607" spans="2:2" x14ac:dyDescent="0.25">
      <c r="B1607" s="1">
        <v>43825</v>
      </c>
    </row>
    <row r="1608" spans="2:2" x14ac:dyDescent="0.25">
      <c r="B1608" s="1">
        <v>43826</v>
      </c>
    </row>
    <row r="1609" spans="2:2" x14ac:dyDescent="0.25">
      <c r="B1609" s="1">
        <v>43827</v>
      </c>
    </row>
    <row r="1610" spans="2:2" x14ac:dyDescent="0.25">
      <c r="B1610" s="1">
        <v>43828</v>
      </c>
    </row>
    <row r="1611" spans="2:2" x14ac:dyDescent="0.25">
      <c r="B1611" s="1">
        <v>43829</v>
      </c>
    </row>
    <row r="1612" spans="2:2" x14ac:dyDescent="0.25">
      <c r="B1612" s="1">
        <v>43830</v>
      </c>
    </row>
    <row r="1613" spans="2:2" x14ac:dyDescent="0.25">
      <c r="B1613" s="1">
        <v>43831</v>
      </c>
    </row>
    <row r="1614" spans="2:2" x14ac:dyDescent="0.25">
      <c r="B1614" s="1">
        <v>43832</v>
      </c>
    </row>
    <row r="1615" spans="2:2" x14ac:dyDescent="0.25">
      <c r="B1615" s="1">
        <v>43833</v>
      </c>
    </row>
    <row r="1616" spans="2:2" x14ac:dyDescent="0.25">
      <c r="B1616" s="1">
        <v>43834</v>
      </c>
    </row>
    <row r="1617" spans="2:2" x14ac:dyDescent="0.25">
      <c r="B1617" s="1">
        <v>43835</v>
      </c>
    </row>
    <row r="1618" spans="2:2" x14ac:dyDescent="0.25">
      <c r="B1618" s="1">
        <v>43836</v>
      </c>
    </row>
    <row r="1619" spans="2:2" x14ac:dyDescent="0.25">
      <c r="B1619" s="1">
        <v>43837</v>
      </c>
    </row>
    <row r="1620" spans="2:2" x14ac:dyDescent="0.25">
      <c r="B1620" s="1">
        <v>43838</v>
      </c>
    </row>
    <row r="1621" spans="2:2" x14ac:dyDescent="0.25">
      <c r="B1621" s="1">
        <v>43839</v>
      </c>
    </row>
    <row r="1622" spans="2:2" x14ac:dyDescent="0.25">
      <c r="B1622" s="1">
        <v>43840</v>
      </c>
    </row>
    <row r="1623" spans="2:2" x14ac:dyDescent="0.25">
      <c r="B1623" s="1">
        <v>43841</v>
      </c>
    </row>
    <row r="1624" spans="2:2" x14ac:dyDescent="0.25">
      <c r="B1624" s="1">
        <v>43842</v>
      </c>
    </row>
    <row r="1625" spans="2:2" x14ac:dyDescent="0.25">
      <c r="B1625" s="1">
        <v>43843</v>
      </c>
    </row>
    <row r="1626" spans="2:2" x14ac:dyDescent="0.25">
      <c r="B1626" s="1">
        <v>43844</v>
      </c>
    </row>
    <row r="1627" spans="2:2" x14ac:dyDescent="0.25">
      <c r="B1627" s="1">
        <v>43845</v>
      </c>
    </row>
    <row r="1628" spans="2:2" x14ac:dyDescent="0.25">
      <c r="B1628" s="1">
        <v>43846</v>
      </c>
    </row>
    <row r="1629" spans="2:2" x14ac:dyDescent="0.25">
      <c r="B1629" s="1">
        <v>43847</v>
      </c>
    </row>
    <row r="1630" spans="2:2" x14ac:dyDescent="0.25">
      <c r="B1630" s="1">
        <v>43848</v>
      </c>
    </row>
    <row r="1631" spans="2:2" x14ac:dyDescent="0.25">
      <c r="B1631" s="1">
        <v>43849</v>
      </c>
    </row>
    <row r="1632" spans="2:2" x14ac:dyDescent="0.25">
      <c r="B1632" s="1">
        <v>43850</v>
      </c>
    </row>
    <row r="1633" spans="2:2" x14ac:dyDescent="0.25">
      <c r="B1633" s="1">
        <v>43851</v>
      </c>
    </row>
    <row r="1634" spans="2:2" x14ac:dyDescent="0.25">
      <c r="B1634" s="1">
        <v>43852</v>
      </c>
    </row>
    <row r="1635" spans="2:2" x14ac:dyDescent="0.25">
      <c r="B1635" s="1">
        <v>43853</v>
      </c>
    </row>
    <row r="1636" spans="2:2" x14ac:dyDescent="0.25">
      <c r="B1636" s="1">
        <v>43854</v>
      </c>
    </row>
    <row r="1637" spans="2:2" x14ac:dyDescent="0.25">
      <c r="B1637" s="1">
        <v>43855</v>
      </c>
    </row>
    <row r="1638" spans="2:2" x14ac:dyDescent="0.25">
      <c r="B1638" s="1">
        <v>43856</v>
      </c>
    </row>
    <row r="1639" spans="2:2" x14ac:dyDescent="0.25">
      <c r="B1639" s="1">
        <v>43857</v>
      </c>
    </row>
    <row r="1640" spans="2:2" x14ac:dyDescent="0.25">
      <c r="B1640" s="1">
        <v>43858</v>
      </c>
    </row>
    <row r="1641" spans="2:2" x14ac:dyDescent="0.25">
      <c r="B1641" s="1">
        <v>43859</v>
      </c>
    </row>
    <row r="1642" spans="2:2" x14ac:dyDescent="0.25">
      <c r="B1642" s="1">
        <v>43860</v>
      </c>
    </row>
    <row r="1643" spans="2:2" x14ac:dyDescent="0.25">
      <c r="B1643" s="1">
        <v>43861</v>
      </c>
    </row>
    <row r="1644" spans="2:2" x14ac:dyDescent="0.25">
      <c r="B1644" s="1">
        <v>43862</v>
      </c>
    </row>
    <row r="1645" spans="2:2" x14ac:dyDescent="0.25">
      <c r="B1645" s="1">
        <v>43863</v>
      </c>
    </row>
    <row r="1646" spans="2:2" x14ac:dyDescent="0.25">
      <c r="B1646" s="1">
        <v>43864</v>
      </c>
    </row>
    <row r="1647" spans="2:2" x14ac:dyDescent="0.25">
      <c r="B1647" s="1">
        <v>43865</v>
      </c>
    </row>
    <row r="1648" spans="2:2" x14ac:dyDescent="0.25">
      <c r="B1648" s="1">
        <v>43866</v>
      </c>
    </row>
    <row r="1649" spans="2:2" x14ac:dyDescent="0.25">
      <c r="B1649" s="1">
        <v>43867</v>
      </c>
    </row>
    <row r="1650" spans="2:2" x14ac:dyDescent="0.25">
      <c r="B1650" s="1">
        <v>43868</v>
      </c>
    </row>
    <row r="1651" spans="2:2" x14ac:dyDescent="0.25">
      <c r="B1651" s="1">
        <v>43869</v>
      </c>
    </row>
    <row r="1652" spans="2:2" x14ac:dyDescent="0.25">
      <c r="B1652" s="1">
        <v>43870</v>
      </c>
    </row>
    <row r="1653" spans="2:2" x14ac:dyDescent="0.25">
      <c r="B1653" s="1">
        <v>43871</v>
      </c>
    </row>
    <row r="1654" spans="2:2" x14ac:dyDescent="0.25">
      <c r="B1654" s="1">
        <v>43872</v>
      </c>
    </row>
    <row r="1655" spans="2:2" x14ac:dyDescent="0.25">
      <c r="B1655" s="1">
        <v>43873</v>
      </c>
    </row>
    <row r="1656" spans="2:2" x14ac:dyDescent="0.25">
      <c r="B1656" s="1">
        <v>43874</v>
      </c>
    </row>
    <row r="1657" spans="2:2" x14ac:dyDescent="0.25">
      <c r="B1657" s="1">
        <v>43875</v>
      </c>
    </row>
    <row r="1658" spans="2:2" x14ac:dyDescent="0.25">
      <c r="B1658" s="1">
        <v>43876</v>
      </c>
    </row>
    <row r="1659" spans="2:2" x14ac:dyDescent="0.25">
      <c r="B1659" s="1">
        <v>43877</v>
      </c>
    </row>
    <row r="1660" spans="2:2" x14ac:dyDescent="0.25">
      <c r="B1660" s="1">
        <v>43878</v>
      </c>
    </row>
    <row r="1661" spans="2:2" x14ac:dyDescent="0.25">
      <c r="B1661" s="1">
        <v>43879</v>
      </c>
    </row>
    <row r="1662" spans="2:2" x14ac:dyDescent="0.25">
      <c r="B1662" s="1">
        <v>43880</v>
      </c>
    </row>
    <row r="1663" spans="2:2" x14ac:dyDescent="0.25">
      <c r="B1663" s="1">
        <v>43881</v>
      </c>
    </row>
    <row r="1664" spans="2:2" x14ac:dyDescent="0.25">
      <c r="B1664" s="1">
        <v>43882</v>
      </c>
    </row>
    <row r="1665" spans="2:2" x14ac:dyDescent="0.25">
      <c r="B1665" s="1">
        <v>43883</v>
      </c>
    </row>
    <row r="1666" spans="2:2" x14ac:dyDescent="0.25">
      <c r="B1666" s="1">
        <v>43884</v>
      </c>
    </row>
    <row r="1667" spans="2:2" x14ac:dyDescent="0.25">
      <c r="B1667" s="1">
        <v>43885</v>
      </c>
    </row>
    <row r="1668" spans="2:2" x14ac:dyDescent="0.25">
      <c r="B1668" s="1">
        <v>43886</v>
      </c>
    </row>
    <row r="1669" spans="2:2" x14ac:dyDescent="0.25">
      <c r="B1669" s="1">
        <v>43887</v>
      </c>
    </row>
    <row r="1670" spans="2:2" x14ac:dyDescent="0.25">
      <c r="B1670" s="1">
        <v>43888</v>
      </c>
    </row>
    <row r="1671" spans="2:2" x14ac:dyDescent="0.25">
      <c r="B1671" s="1">
        <v>43889</v>
      </c>
    </row>
    <row r="1672" spans="2:2" x14ac:dyDescent="0.25">
      <c r="B1672" s="1">
        <v>43890</v>
      </c>
    </row>
    <row r="1673" spans="2:2" x14ac:dyDescent="0.25">
      <c r="B1673" s="1">
        <v>43891</v>
      </c>
    </row>
    <row r="1674" spans="2:2" x14ac:dyDescent="0.25">
      <c r="B1674" s="1">
        <v>43892</v>
      </c>
    </row>
    <row r="1675" spans="2:2" x14ac:dyDescent="0.25">
      <c r="B1675" s="1">
        <v>43893</v>
      </c>
    </row>
    <row r="1676" spans="2:2" x14ac:dyDescent="0.25">
      <c r="B1676" s="1">
        <v>43894</v>
      </c>
    </row>
    <row r="1677" spans="2:2" x14ac:dyDescent="0.25">
      <c r="B1677" s="1">
        <v>43895</v>
      </c>
    </row>
    <row r="1678" spans="2:2" x14ac:dyDescent="0.25">
      <c r="B1678" s="1">
        <v>43896</v>
      </c>
    </row>
    <row r="1679" spans="2:2" x14ac:dyDescent="0.25">
      <c r="B1679" s="1">
        <v>43897</v>
      </c>
    </row>
    <row r="1680" spans="2:2" x14ac:dyDescent="0.25">
      <c r="B1680" s="1">
        <v>43898</v>
      </c>
    </row>
    <row r="1681" spans="2:2" x14ac:dyDescent="0.25">
      <c r="B1681" s="1">
        <v>43899</v>
      </c>
    </row>
    <row r="1682" spans="2:2" x14ac:dyDescent="0.25">
      <c r="B1682" s="1">
        <v>43900</v>
      </c>
    </row>
    <row r="1683" spans="2:2" x14ac:dyDescent="0.25">
      <c r="B1683" s="1">
        <v>43901</v>
      </c>
    </row>
    <row r="1684" spans="2:2" x14ac:dyDescent="0.25">
      <c r="B1684" s="1">
        <v>43902</v>
      </c>
    </row>
    <row r="1685" spans="2:2" x14ac:dyDescent="0.25">
      <c r="B1685" s="1">
        <v>43903</v>
      </c>
    </row>
    <row r="1686" spans="2:2" x14ac:dyDescent="0.25">
      <c r="B1686" s="1">
        <v>43904</v>
      </c>
    </row>
    <row r="1687" spans="2:2" x14ac:dyDescent="0.25">
      <c r="B1687" s="1">
        <v>43905</v>
      </c>
    </row>
    <row r="1688" spans="2:2" x14ac:dyDescent="0.25">
      <c r="B1688" s="1">
        <v>43906</v>
      </c>
    </row>
    <row r="1689" spans="2:2" x14ac:dyDescent="0.25">
      <c r="B1689" s="1">
        <v>43907</v>
      </c>
    </row>
    <row r="1690" spans="2:2" x14ac:dyDescent="0.25">
      <c r="B1690" s="1">
        <v>43908</v>
      </c>
    </row>
    <row r="1691" spans="2:2" x14ac:dyDescent="0.25">
      <c r="B1691" s="1">
        <v>43909</v>
      </c>
    </row>
    <row r="1692" spans="2:2" x14ac:dyDescent="0.25">
      <c r="B1692" s="1">
        <v>43910</v>
      </c>
    </row>
    <row r="1693" spans="2:2" x14ac:dyDescent="0.25">
      <c r="B1693" s="1">
        <v>43911</v>
      </c>
    </row>
    <row r="1694" spans="2:2" x14ac:dyDescent="0.25">
      <c r="B1694" s="1">
        <v>43912</v>
      </c>
    </row>
    <row r="1695" spans="2:2" x14ac:dyDescent="0.25">
      <c r="B1695" s="1">
        <v>43913</v>
      </c>
    </row>
    <row r="1696" spans="2:2" x14ac:dyDescent="0.25">
      <c r="B1696" s="1">
        <v>43914</v>
      </c>
    </row>
    <row r="1697" spans="2:2" x14ac:dyDescent="0.25">
      <c r="B1697" s="1">
        <v>43915</v>
      </c>
    </row>
    <row r="1698" spans="2:2" x14ac:dyDescent="0.25">
      <c r="B1698" s="1">
        <v>43916</v>
      </c>
    </row>
    <row r="1699" spans="2:2" x14ac:dyDescent="0.25">
      <c r="B1699" s="1">
        <v>43917</v>
      </c>
    </row>
    <row r="1700" spans="2:2" x14ac:dyDescent="0.25">
      <c r="B1700" s="1">
        <v>43918</v>
      </c>
    </row>
    <row r="1701" spans="2:2" x14ac:dyDescent="0.25">
      <c r="B1701" s="1">
        <v>43919</v>
      </c>
    </row>
    <row r="1702" spans="2:2" x14ac:dyDescent="0.25">
      <c r="B1702" s="1">
        <v>43920</v>
      </c>
    </row>
    <row r="1703" spans="2:2" x14ac:dyDescent="0.25">
      <c r="B1703" s="1">
        <v>43921</v>
      </c>
    </row>
    <row r="1704" spans="2:2" x14ac:dyDescent="0.25">
      <c r="B1704" s="1">
        <v>43922</v>
      </c>
    </row>
    <row r="1705" spans="2:2" x14ac:dyDescent="0.25">
      <c r="B1705" s="1">
        <v>43923</v>
      </c>
    </row>
    <row r="1706" spans="2:2" x14ac:dyDescent="0.25">
      <c r="B1706" s="1">
        <v>43924</v>
      </c>
    </row>
    <row r="1707" spans="2:2" x14ac:dyDescent="0.25">
      <c r="B1707" s="1">
        <v>43925</v>
      </c>
    </row>
    <row r="1708" spans="2:2" x14ac:dyDescent="0.25">
      <c r="B1708" s="1">
        <v>43926</v>
      </c>
    </row>
    <row r="1709" spans="2:2" x14ac:dyDescent="0.25">
      <c r="B1709" s="1">
        <v>43927</v>
      </c>
    </row>
    <row r="1710" spans="2:2" x14ac:dyDescent="0.25">
      <c r="B1710" s="1">
        <v>43928</v>
      </c>
    </row>
    <row r="1711" spans="2:2" x14ac:dyDescent="0.25">
      <c r="B1711" s="1">
        <v>43929</v>
      </c>
    </row>
    <row r="1712" spans="2:2" x14ac:dyDescent="0.25">
      <c r="B1712" s="1">
        <v>43930</v>
      </c>
    </row>
    <row r="1713" spans="2:2" x14ac:dyDescent="0.25">
      <c r="B1713" s="1">
        <v>43931</v>
      </c>
    </row>
    <row r="1714" spans="2:2" x14ac:dyDescent="0.25">
      <c r="B1714" s="1">
        <v>43932</v>
      </c>
    </row>
    <row r="1715" spans="2:2" x14ac:dyDescent="0.25">
      <c r="B1715" s="1">
        <v>43933</v>
      </c>
    </row>
    <row r="1716" spans="2:2" x14ac:dyDescent="0.25">
      <c r="B1716" s="1">
        <v>43934</v>
      </c>
    </row>
    <row r="1717" spans="2:2" x14ac:dyDescent="0.25">
      <c r="B1717" s="1">
        <v>43935</v>
      </c>
    </row>
    <row r="1718" spans="2:2" x14ac:dyDescent="0.25">
      <c r="B1718" s="1">
        <v>43936</v>
      </c>
    </row>
    <row r="1719" spans="2:2" x14ac:dyDescent="0.25">
      <c r="B1719" s="1">
        <v>43937</v>
      </c>
    </row>
    <row r="1720" spans="2:2" x14ac:dyDescent="0.25">
      <c r="B1720" s="1">
        <v>43938</v>
      </c>
    </row>
    <row r="1721" spans="2:2" x14ac:dyDescent="0.25">
      <c r="B1721" s="1">
        <v>43939</v>
      </c>
    </row>
    <row r="1722" spans="2:2" x14ac:dyDescent="0.25">
      <c r="B1722" s="1">
        <v>43940</v>
      </c>
    </row>
    <row r="1723" spans="2:2" x14ac:dyDescent="0.25">
      <c r="B1723" s="1">
        <v>43941</v>
      </c>
    </row>
    <row r="1724" spans="2:2" x14ac:dyDescent="0.25">
      <c r="B1724" s="1">
        <v>43942</v>
      </c>
    </row>
    <row r="1725" spans="2:2" x14ac:dyDescent="0.25">
      <c r="B1725" s="1">
        <v>43943</v>
      </c>
    </row>
    <row r="1726" spans="2:2" x14ac:dyDescent="0.25">
      <c r="B1726" s="1">
        <v>43944</v>
      </c>
    </row>
    <row r="1727" spans="2:2" x14ac:dyDescent="0.25">
      <c r="B1727" s="1">
        <v>43945</v>
      </c>
    </row>
    <row r="1728" spans="2:2" x14ac:dyDescent="0.25">
      <c r="B1728" s="1">
        <v>43946</v>
      </c>
    </row>
    <row r="1729" spans="2:2" x14ac:dyDescent="0.25">
      <c r="B1729" s="1">
        <v>43947</v>
      </c>
    </row>
    <row r="1730" spans="2:2" x14ac:dyDescent="0.25">
      <c r="B1730" s="1">
        <v>43948</v>
      </c>
    </row>
    <row r="1731" spans="2:2" x14ac:dyDescent="0.25">
      <c r="B1731" s="1">
        <v>43949</v>
      </c>
    </row>
    <row r="1732" spans="2:2" x14ac:dyDescent="0.25">
      <c r="B1732" s="1">
        <v>43950</v>
      </c>
    </row>
    <row r="1733" spans="2:2" x14ac:dyDescent="0.25">
      <c r="B1733" s="1">
        <v>43951</v>
      </c>
    </row>
    <row r="1734" spans="2:2" x14ac:dyDescent="0.25">
      <c r="B1734" s="1">
        <v>43952</v>
      </c>
    </row>
    <row r="1735" spans="2:2" x14ac:dyDescent="0.25">
      <c r="B1735" s="1">
        <v>43953</v>
      </c>
    </row>
    <row r="1736" spans="2:2" x14ac:dyDescent="0.25">
      <c r="B1736" s="1">
        <v>43954</v>
      </c>
    </row>
    <row r="1737" spans="2:2" x14ac:dyDescent="0.25">
      <c r="B1737" s="1">
        <v>43955</v>
      </c>
    </row>
    <row r="1738" spans="2:2" x14ac:dyDescent="0.25">
      <c r="B1738" s="1">
        <v>43956</v>
      </c>
    </row>
    <row r="1739" spans="2:2" x14ac:dyDescent="0.25">
      <c r="B1739" s="1">
        <v>43957</v>
      </c>
    </row>
    <row r="1740" spans="2:2" x14ac:dyDescent="0.25">
      <c r="B1740" s="1">
        <v>43958</v>
      </c>
    </row>
    <row r="1741" spans="2:2" x14ac:dyDescent="0.25">
      <c r="B1741" s="1">
        <v>43959</v>
      </c>
    </row>
    <row r="1742" spans="2:2" x14ac:dyDescent="0.25">
      <c r="B1742" s="1">
        <v>43960</v>
      </c>
    </row>
    <row r="1743" spans="2:2" x14ac:dyDescent="0.25">
      <c r="B1743" s="1">
        <v>43961</v>
      </c>
    </row>
    <row r="1744" spans="2:2" x14ac:dyDescent="0.25">
      <c r="B1744" s="1">
        <v>43962</v>
      </c>
    </row>
    <row r="1745" spans="2:2" x14ac:dyDescent="0.25">
      <c r="B1745" s="1">
        <v>43963</v>
      </c>
    </row>
    <row r="1746" spans="2:2" x14ac:dyDescent="0.25">
      <c r="B1746" s="1">
        <v>43964</v>
      </c>
    </row>
    <row r="1747" spans="2:2" x14ac:dyDescent="0.25">
      <c r="B1747" s="1">
        <v>43965</v>
      </c>
    </row>
    <row r="1748" spans="2:2" x14ac:dyDescent="0.25">
      <c r="B1748" s="1">
        <v>43966</v>
      </c>
    </row>
    <row r="1749" spans="2:2" x14ac:dyDescent="0.25">
      <c r="B1749" s="1">
        <v>43967</v>
      </c>
    </row>
    <row r="1750" spans="2:2" x14ac:dyDescent="0.25">
      <c r="B1750" s="1">
        <v>43968</v>
      </c>
    </row>
    <row r="1751" spans="2:2" x14ac:dyDescent="0.25">
      <c r="B1751" s="1">
        <v>43969</v>
      </c>
    </row>
    <row r="1752" spans="2:2" x14ac:dyDescent="0.25">
      <c r="B1752" s="1">
        <v>43970</v>
      </c>
    </row>
    <row r="1753" spans="2:2" x14ac:dyDescent="0.25">
      <c r="B1753" s="1">
        <v>43971</v>
      </c>
    </row>
    <row r="1754" spans="2:2" x14ac:dyDescent="0.25">
      <c r="B1754" s="1">
        <v>43972</v>
      </c>
    </row>
    <row r="1755" spans="2:2" x14ac:dyDescent="0.25">
      <c r="B1755" s="1">
        <v>43973</v>
      </c>
    </row>
    <row r="1756" spans="2:2" x14ac:dyDescent="0.25">
      <c r="B1756" s="1">
        <v>43974</v>
      </c>
    </row>
    <row r="1757" spans="2:2" x14ac:dyDescent="0.25">
      <c r="B1757" s="1">
        <v>43975</v>
      </c>
    </row>
    <row r="1758" spans="2:2" x14ac:dyDescent="0.25">
      <c r="B1758" s="1">
        <v>43976</v>
      </c>
    </row>
    <row r="1759" spans="2:2" x14ac:dyDescent="0.25">
      <c r="B1759" s="1">
        <v>43977</v>
      </c>
    </row>
    <row r="1760" spans="2:2" x14ac:dyDescent="0.25">
      <c r="B1760" s="1">
        <v>43978</v>
      </c>
    </row>
    <row r="1761" spans="2:2" x14ac:dyDescent="0.25">
      <c r="B1761" s="1">
        <v>43979</v>
      </c>
    </row>
    <row r="1762" spans="2:2" x14ac:dyDescent="0.25">
      <c r="B1762" s="1">
        <v>43980</v>
      </c>
    </row>
    <row r="1763" spans="2:2" x14ac:dyDescent="0.25">
      <c r="B1763" s="1">
        <v>43981</v>
      </c>
    </row>
    <row r="1764" spans="2:2" x14ac:dyDescent="0.25">
      <c r="B1764" s="1">
        <v>43982</v>
      </c>
    </row>
    <row r="1765" spans="2:2" x14ac:dyDescent="0.25">
      <c r="B1765" s="1">
        <v>43983</v>
      </c>
    </row>
    <row r="1766" spans="2:2" x14ac:dyDescent="0.25">
      <c r="B1766" s="1">
        <v>43984</v>
      </c>
    </row>
    <row r="1767" spans="2:2" x14ac:dyDescent="0.25">
      <c r="B1767" s="1">
        <v>43985</v>
      </c>
    </row>
    <row r="1768" spans="2:2" x14ac:dyDescent="0.25">
      <c r="B1768" s="1">
        <v>43986</v>
      </c>
    </row>
    <row r="1769" spans="2:2" x14ac:dyDescent="0.25">
      <c r="B1769" s="1">
        <v>43987</v>
      </c>
    </row>
    <row r="1770" spans="2:2" x14ac:dyDescent="0.25">
      <c r="B1770" s="1">
        <v>43988</v>
      </c>
    </row>
    <row r="1771" spans="2:2" x14ac:dyDescent="0.25">
      <c r="B1771" s="1">
        <v>43989</v>
      </c>
    </row>
    <row r="1772" spans="2:2" x14ac:dyDescent="0.25">
      <c r="B1772" s="1">
        <v>43990</v>
      </c>
    </row>
    <row r="1773" spans="2:2" x14ac:dyDescent="0.25">
      <c r="B1773" s="1">
        <v>43991</v>
      </c>
    </row>
    <row r="1774" spans="2:2" x14ac:dyDescent="0.25">
      <c r="B1774" s="1">
        <v>43992</v>
      </c>
    </row>
    <row r="1775" spans="2:2" x14ac:dyDescent="0.25">
      <c r="B1775" s="1">
        <v>43993</v>
      </c>
    </row>
    <row r="1776" spans="2:2" x14ac:dyDescent="0.25">
      <c r="B1776" s="1">
        <v>43994</v>
      </c>
    </row>
    <row r="1777" spans="2:2" x14ac:dyDescent="0.25">
      <c r="B1777" s="1">
        <v>43995</v>
      </c>
    </row>
    <row r="1778" spans="2:2" x14ac:dyDescent="0.25">
      <c r="B1778" s="1">
        <v>43996</v>
      </c>
    </row>
    <row r="1779" spans="2:2" x14ac:dyDescent="0.25">
      <c r="B1779" s="1">
        <v>43997</v>
      </c>
    </row>
    <row r="1780" spans="2:2" x14ac:dyDescent="0.25">
      <c r="B1780" s="1">
        <v>43998</v>
      </c>
    </row>
    <row r="1781" spans="2:2" x14ac:dyDescent="0.25">
      <c r="B1781" s="1">
        <v>43999</v>
      </c>
    </row>
    <row r="1782" spans="2:2" x14ac:dyDescent="0.25">
      <c r="B1782" s="1">
        <v>44000</v>
      </c>
    </row>
    <row r="1783" spans="2:2" x14ac:dyDescent="0.25">
      <c r="B1783" s="1">
        <v>44001</v>
      </c>
    </row>
    <row r="1784" spans="2:2" x14ac:dyDescent="0.25">
      <c r="B1784" s="1">
        <v>44002</v>
      </c>
    </row>
    <row r="1785" spans="2:2" x14ac:dyDescent="0.25">
      <c r="B1785" s="1">
        <v>44003</v>
      </c>
    </row>
    <row r="1786" spans="2:2" x14ac:dyDescent="0.25">
      <c r="B1786" s="1">
        <v>44004</v>
      </c>
    </row>
    <row r="1787" spans="2:2" x14ac:dyDescent="0.25">
      <c r="B1787" s="1">
        <v>44005</v>
      </c>
    </row>
    <row r="1788" spans="2:2" x14ac:dyDescent="0.25">
      <c r="B1788" s="1">
        <v>44006</v>
      </c>
    </row>
    <row r="1789" spans="2:2" x14ac:dyDescent="0.25">
      <c r="B1789" s="1">
        <v>44007</v>
      </c>
    </row>
    <row r="1790" spans="2:2" x14ac:dyDescent="0.25">
      <c r="B1790" s="1">
        <v>44008</v>
      </c>
    </row>
    <row r="1791" spans="2:2" x14ac:dyDescent="0.25">
      <c r="B1791" s="1">
        <v>44009</v>
      </c>
    </row>
    <row r="1792" spans="2:2" x14ac:dyDescent="0.25">
      <c r="B1792" s="1">
        <v>44010</v>
      </c>
    </row>
    <row r="1793" spans="2:2" x14ac:dyDescent="0.25">
      <c r="B1793" s="1">
        <v>44011</v>
      </c>
    </row>
    <row r="1794" spans="2:2" x14ac:dyDescent="0.25">
      <c r="B1794" s="1">
        <v>44012</v>
      </c>
    </row>
    <row r="1795" spans="2:2" x14ac:dyDescent="0.25">
      <c r="B1795" s="1">
        <v>44013</v>
      </c>
    </row>
    <row r="1796" spans="2:2" x14ac:dyDescent="0.25">
      <c r="B1796" s="1">
        <v>44014</v>
      </c>
    </row>
    <row r="1797" spans="2:2" x14ac:dyDescent="0.25">
      <c r="B1797" s="1">
        <v>44015</v>
      </c>
    </row>
    <row r="1798" spans="2:2" x14ac:dyDescent="0.25">
      <c r="B1798" s="1">
        <v>44016</v>
      </c>
    </row>
    <row r="1799" spans="2:2" x14ac:dyDescent="0.25">
      <c r="B1799" s="1">
        <v>44017</v>
      </c>
    </row>
    <row r="1800" spans="2:2" x14ac:dyDescent="0.25">
      <c r="B1800" s="1">
        <v>44018</v>
      </c>
    </row>
    <row r="1801" spans="2:2" x14ac:dyDescent="0.25">
      <c r="B1801" s="1">
        <v>44019</v>
      </c>
    </row>
    <row r="1802" spans="2:2" x14ac:dyDescent="0.25">
      <c r="B1802" s="1">
        <v>44020</v>
      </c>
    </row>
    <row r="1803" spans="2:2" x14ac:dyDescent="0.25">
      <c r="B1803" s="1">
        <v>44021</v>
      </c>
    </row>
    <row r="1804" spans="2:2" x14ac:dyDescent="0.25">
      <c r="B1804" s="1">
        <v>44022</v>
      </c>
    </row>
    <row r="1805" spans="2:2" x14ac:dyDescent="0.25">
      <c r="B1805" s="1">
        <v>44023</v>
      </c>
    </row>
    <row r="1806" spans="2:2" x14ac:dyDescent="0.25">
      <c r="B1806" s="1">
        <v>44024</v>
      </c>
    </row>
    <row r="1807" spans="2:2" x14ac:dyDescent="0.25">
      <c r="B1807" s="1">
        <v>44025</v>
      </c>
    </row>
    <row r="1808" spans="2:2" x14ac:dyDescent="0.25">
      <c r="B1808" s="1">
        <v>44026</v>
      </c>
    </row>
    <row r="1809" spans="2:2" x14ac:dyDescent="0.25">
      <c r="B1809" s="1">
        <v>44027</v>
      </c>
    </row>
    <row r="1810" spans="2:2" x14ac:dyDescent="0.25">
      <c r="B1810" s="1">
        <v>44028</v>
      </c>
    </row>
    <row r="1811" spans="2:2" x14ac:dyDescent="0.25">
      <c r="B1811" s="1">
        <v>44029</v>
      </c>
    </row>
    <row r="1812" spans="2:2" x14ac:dyDescent="0.25">
      <c r="B1812" s="1">
        <v>44030</v>
      </c>
    </row>
    <row r="1813" spans="2:2" x14ac:dyDescent="0.25">
      <c r="B1813" s="1">
        <v>44031</v>
      </c>
    </row>
    <row r="1814" spans="2:2" x14ac:dyDescent="0.25">
      <c r="B1814" s="1">
        <v>44032</v>
      </c>
    </row>
    <row r="1815" spans="2:2" x14ac:dyDescent="0.25">
      <c r="B1815" s="1">
        <v>44033</v>
      </c>
    </row>
    <row r="1816" spans="2:2" x14ac:dyDescent="0.25">
      <c r="B1816" s="1">
        <v>44034</v>
      </c>
    </row>
    <row r="1817" spans="2:2" x14ac:dyDescent="0.25">
      <c r="B1817" s="1">
        <v>44035</v>
      </c>
    </row>
    <row r="1818" spans="2:2" x14ac:dyDescent="0.25">
      <c r="B1818" s="1">
        <v>44036</v>
      </c>
    </row>
    <row r="1819" spans="2:2" x14ac:dyDescent="0.25">
      <c r="B1819" s="1">
        <v>44037</v>
      </c>
    </row>
    <row r="1820" spans="2:2" x14ac:dyDescent="0.25">
      <c r="B1820" s="1">
        <v>44038</v>
      </c>
    </row>
    <row r="1821" spans="2:2" x14ac:dyDescent="0.25">
      <c r="B1821" s="1">
        <v>44039</v>
      </c>
    </row>
    <row r="1822" spans="2:2" x14ac:dyDescent="0.25">
      <c r="B1822" s="1">
        <v>44040</v>
      </c>
    </row>
    <row r="1823" spans="2:2" x14ac:dyDescent="0.25">
      <c r="B1823" s="1">
        <v>44041</v>
      </c>
    </row>
    <row r="1824" spans="2:2" x14ac:dyDescent="0.25">
      <c r="B1824" s="1">
        <v>44042</v>
      </c>
    </row>
    <row r="1825" spans="2:2" x14ac:dyDescent="0.25">
      <c r="B1825" s="1">
        <v>44043</v>
      </c>
    </row>
    <row r="1826" spans="2:2" x14ac:dyDescent="0.25">
      <c r="B1826" s="1">
        <v>44044</v>
      </c>
    </row>
    <row r="1827" spans="2:2" x14ac:dyDescent="0.25">
      <c r="B1827" s="1">
        <v>44045</v>
      </c>
    </row>
    <row r="1828" spans="2:2" x14ac:dyDescent="0.25">
      <c r="B1828" s="1">
        <v>44046</v>
      </c>
    </row>
    <row r="1829" spans="2:2" x14ac:dyDescent="0.25">
      <c r="B1829" s="1">
        <v>44047</v>
      </c>
    </row>
    <row r="1830" spans="2:2" x14ac:dyDescent="0.25">
      <c r="B1830" s="1">
        <v>44048</v>
      </c>
    </row>
    <row r="1831" spans="2:2" x14ac:dyDescent="0.25">
      <c r="B1831" s="1">
        <v>44049</v>
      </c>
    </row>
    <row r="1832" spans="2:2" x14ac:dyDescent="0.25">
      <c r="B1832" s="1">
        <v>44050</v>
      </c>
    </row>
    <row r="1833" spans="2:2" x14ac:dyDescent="0.25">
      <c r="B1833" s="1">
        <v>44051</v>
      </c>
    </row>
    <row r="1834" spans="2:2" x14ac:dyDescent="0.25">
      <c r="B1834" s="1">
        <v>44052</v>
      </c>
    </row>
    <row r="1835" spans="2:2" x14ac:dyDescent="0.25">
      <c r="B1835" s="1">
        <v>44053</v>
      </c>
    </row>
    <row r="1836" spans="2:2" x14ac:dyDescent="0.25">
      <c r="B1836" s="1">
        <v>44054</v>
      </c>
    </row>
    <row r="1837" spans="2:2" x14ac:dyDescent="0.25">
      <c r="B1837" s="1">
        <v>44055</v>
      </c>
    </row>
    <row r="1838" spans="2:2" x14ac:dyDescent="0.25">
      <c r="B1838" s="1">
        <v>44056</v>
      </c>
    </row>
    <row r="1839" spans="2:2" x14ac:dyDescent="0.25">
      <c r="B1839" s="1">
        <v>44057</v>
      </c>
    </row>
    <row r="1840" spans="2:2" x14ac:dyDescent="0.25">
      <c r="B1840" s="1">
        <v>44058</v>
      </c>
    </row>
    <row r="1841" spans="2:2" x14ac:dyDescent="0.25">
      <c r="B1841" s="1">
        <v>44059</v>
      </c>
    </row>
    <row r="1842" spans="2:2" x14ac:dyDescent="0.25">
      <c r="B1842" s="1">
        <v>44060</v>
      </c>
    </row>
    <row r="1843" spans="2:2" x14ac:dyDescent="0.25">
      <c r="B1843" s="1">
        <v>44061</v>
      </c>
    </row>
    <row r="1844" spans="2:2" x14ac:dyDescent="0.25">
      <c r="B1844" s="1">
        <v>44062</v>
      </c>
    </row>
    <row r="1845" spans="2:2" x14ac:dyDescent="0.25">
      <c r="B1845" s="1">
        <v>44063</v>
      </c>
    </row>
    <row r="1846" spans="2:2" x14ac:dyDescent="0.25">
      <c r="B1846" s="1">
        <v>44064</v>
      </c>
    </row>
    <row r="1847" spans="2:2" x14ac:dyDescent="0.25">
      <c r="B1847" s="1">
        <v>44065</v>
      </c>
    </row>
    <row r="1848" spans="2:2" x14ac:dyDescent="0.25">
      <c r="B1848" s="1">
        <v>44066</v>
      </c>
    </row>
    <row r="1849" spans="2:2" x14ac:dyDescent="0.25">
      <c r="B1849" s="1">
        <v>44067</v>
      </c>
    </row>
    <row r="1850" spans="2:2" x14ac:dyDescent="0.25">
      <c r="B1850" s="1">
        <v>44068</v>
      </c>
    </row>
    <row r="1851" spans="2:2" x14ac:dyDescent="0.25">
      <c r="B1851" s="1">
        <v>44069</v>
      </c>
    </row>
    <row r="1852" spans="2:2" x14ac:dyDescent="0.25">
      <c r="B1852" s="1">
        <v>44070</v>
      </c>
    </row>
    <row r="1853" spans="2:2" x14ac:dyDescent="0.25">
      <c r="B1853" s="1">
        <v>44071</v>
      </c>
    </row>
    <row r="1854" spans="2:2" x14ac:dyDescent="0.25">
      <c r="B1854" s="1">
        <v>44072</v>
      </c>
    </row>
    <row r="1855" spans="2:2" x14ac:dyDescent="0.25">
      <c r="B1855" s="1">
        <v>44073</v>
      </c>
    </row>
    <row r="1856" spans="2:2" x14ac:dyDescent="0.25">
      <c r="B1856" s="1">
        <v>44074</v>
      </c>
    </row>
    <row r="1857" spans="2:2" x14ac:dyDescent="0.25">
      <c r="B1857" s="1">
        <v>44075</v>
      </c>
    </row>
    <row r="1858" spans="2:2" x14ac:dyDescent="0.25">
      <c r="B1858" s="1">
        <v>44076</v>
      </c>
    </row>
    <row r="1859" spans="2:2" x14ac:dyDescent="0.25">
      <c r="B1859" s="1">
        <v>44077</v>
      </c>
    </row>
    <row r="1860" spans="2:2" x14ac:dyDescent="0.25">
      <c r="B1860" s="1">
        <v>44078</v>
      </c>
    </row>
    <row r="1861" spans="2:2" x14ac:dyDescent="0.25">
      <c r="B1861" s="1">
        <v>44079</v>
      </c>
    </row>
    <row r="1862" spans="2:2" x14ac:dyDescent="0.25">
      <c r="B1862" s="1">
        <v>44080</v>
      </c>
    </row>
    <row r="1863" spans="2:2" x14ac:dyDescent="0.25">
      <c r="B1863" s="1">
        <v>44081</v>
      </c>
    </row>
    <row r="1864" spans="2:2" x14ac:dyDescent="0.25">
      <c r="B1864" s="1">
        <v>44082</v>
      </c>
    </row>
    <row r="1865" spans="2:2" x14ac:dyDescent="0.25">
      <c r="B1865" s="1">
        <v>44083</v>
      </c>
    </row>
    <row r="1866" spans="2:2" x14ac:dyDescent="0.25">
      <c r="B1866" s="1">
        <v>44084</v>
      </c>
    </row>
    <row r="1867" spans="2:2" x14ac:dyDescent="0.25">
      <c r="B1867" s="1">
        <v>44085</v>
      </c>
    </row>
    <row r="1868" spans="2:2" x14ac:dyDescent="0.25">
      <c r="B1868" s="1">
        <v>44086</v>
      </c>
    </row>
    <row r="1869" spans="2:2" x14ac:dyDescent="0.25">
      <c r="B1869" s="1">
        <v>44087</v>
      </c>
    </row>
    <row r="1870" spans="2:2" x14ac:dyDescent="0.25">
      <c r="B1870" s="1">
        <v>44088</v>
      </c>
    </row>
    <row r="1871" spans="2:2" x14ac:dyDescent="0.25">
      <c r="B1871" s="1">
        <v>44089</v>
      </c>
    </row>
    <row r="1872" spans="2:2" x14ac:dyDescent="0.25">
      <c r="B1872" s="1">
        <v>44090</v>
      </c>
    </row>
    <row r="1873" spans="2:2" x14ac:dyDescent="0.25">
      <c r="B1873" s="1">
        <v>44091</v>
      </c>
    </row>
    <row r="1874" spans="2:2" x14ac:dyDescent="0.25">
      <c r="B1874" s="1">
        <v>44092</v>
      </c>
    </row>
    <row r="1875" spans="2:2" x14ac:dyDescent="0.25">
      <c r="B1875" s="1">
        <v>44093</v>
      </c>
    </row>
    <row r="1876" spans="2:2" x14ac:dyDescent="0.25">
      <c r="B1876" s="1">
        <v>44094</v>
      </c>
    </row>
    <row r="1877" spans="2:2" x14ac:dyDescent="0.25">
      <c r="B1877" s="1">
        <v>44095</v>
      </c>
    </row>
    <row r="1878" spans="2:2" x14ac:dyDescent="0.25">
      <c r="B1878" s="1">
        <v>44096</v>
      </c>
    </row>
    <row r="1879" spans="2:2" x14ac:dyDescent="0.25">
      <c r="B1879" s="1">
        <v>44097</v>
      </c>
    </row>
    <row r="1880" spans="2:2" x14ac:dyDescent="0.25">
      <c r="B1880" s="1">
        <v>44098</v>
      </c>
    </row>
    <row r="1881" spans="2:2" x14ac:dyDescent="0.25">
      <c r="B1881" s="1">
        <v>44099</v>
      </c>
    </row>
    <row r="1882" spans="2:2" x14ac:dyDescent="0.25">
      <c r="B1882" s="1">
        <v>44100</v>
      </c>
    </row>
    <row r="1883" spans="2:2" x14ac:dyDescent="0.25">
      <c r="B1883" s="1">
        <v>44101</v>
      </c>
    </row>
    <row r="1884" spans="2:2" x14ac:dyDescent="0.25">
      <c r="B1884" s="1">
        <v>44102</v>
      </c>
    </row>
    <row r="1885" spans="2:2" x14ac:dyDescent="0.25">
      <c r="B1885" s="1">
        <v>44103</v>
      </c>
    </row>
    <row r="1886" spans="2:2" x14ac:dyDescent="0.25">
      <c r="B1886" s="1">
        <v>44104</v>
      </c>
    </row>
    <row r="1887" spans="2:2" x14ac:dyDescent="0.25">
      <c r="B1887" s="1">
        <v>44105</v>
      </c>
    </row>
    <row r="1888" spans="2:2" x14ac:dyDescent="0.25">
      <c r="B1888" s="1">
        <v>44106</v>
      </c>
    </row>
    <row r="1889" spans="2:2" x14ac:dyDescent="0.25">
      <c r="B1889" s="1">
        <v>44107</v>
      </c>
    </row>
    <row r="1890" spans="2:2" x14ac:dyDescent="0.25">
      <c r="B1890" s="1">
        <v>44108</v>
      </c>
    </row>
    <row r="1891" spans="2:2" x14ac:dyDescent="0.25">
      <c r="B1891" s="1">
        <v>44109</v>
      </c>
    </row>
    <row r="1892" spans="2:2" x14ac:dyDescent="0.25">
      <c r="B1892" s="1">
        <v>44110</v>
      </c>
    </row>
    <row r="1893" spans="2:2" x14ac:dyDescent="0.25">
      <c r="B1893" s="1">
        <v>44111</v>
      </c>
    </row>
    <row r="1894" spans="2:2" x14ac:dyDescent="0.25">
      <c r="B1894" s="1">
        <v>44112</v>
      </c>
    </row>
    <row r="1895" spans="2:2" x14ac:dyDescent="0.25">
      <c r="B1895" s="1">
        <v>44113</v>
      </c>
    </row>
    <row r="1896" spans="2:2" x14ac:dyDescent="0.25">
      <c r="B1896" s="1">
        <v>44114</v>
      </c>
    </row>
    <row r="1897" spans="2:2" x14ac:dyDescent="0.25">
      <c r="B1897" s="1">
        <v>44115</v>
      </c>
    </row>
    <row r="1898" spans="2:2" x14ac:dyDescent="0.25">
      <c r="B1898" s="1">
        <v>44116</v>
      </c>
    </row>
    <row r="1899" spans="2:2" x14ac:dyDescent="0.25">
      <c r="B1899" s="1">
        <v>44117</v>
      </c>
    </row>
    <row r="1900" spans="2:2" x14ac:dyDescent="0.25">
      <c r="B1900" s="1">
        <v>44118</v>
      </c>
    </row>
    <row r="1901" spans="2:2" x14ac:dyDescent="0.25">
      <c r="B1901" s="1">
        <v>44119</v>
      </c>
    </row>
    <row r="1902" spans="2:2" x14ac:dyDescent="0.25">
      <c r="B1902" s="1">
        <v>44120</v>
      </c>
    </row>
    <row r="1903" spans="2:2" x14ac:dyDescent="0.25">
      <c r="B1903" s="1">
        <v>44121</v>
      </c>
    </row>
    <row r="1904" spans="2:2" x14ac:dyDescent="0.25">
      <c r="B1904" s="1">
        <v>44122</v>
      </c>
    </row>
    <row r="1905" spans="2:2" x14ac:dyDescent="0.25">
      <c r="B1905" s="1">
        <v>44123</v>
      </c>
    </row>
    <row r="1906" spans="2:2" x14ac:dyDescent="0.25">
      <c r="B1906" s="1">
        <v>44124</v>
      </c>
    </row>
    <row r="1907" spans="2:2" x14ac:dyDescent="0.25">
      <c r="B1907" s="1">
        <v>44125</v>
      </c>
    </row>
    <row r="1908" spans="2:2" x14ac:dyDescent="0.25">
      <c r="B1908" s="1">
        <v>44126</v>
      </c>
    </row>
    <row r="1909" spans="2:2" x14ac:dyDescent="0.25">
      <c r="B1909" s="1">
        <v>44127</v>
      </c>
    </row>
    <row r="1910" spans="2:2" x14ac:dyDescent="0.25">
      <c r="B1910" s="1">
        <v>44128</v>
      </c>
    </row>
    <row r="1911" spans="2:2" x14ac:dyDescent="0.25">
      <c r="B1911" s="1">
        <v>44129</v>
      </c>
    </row>
    <row r="1912" spans="2:2" x14ac:dyDescent="0.25">
      <c r="B1912" s="1">
        <v>44130</v>
      </c>
    </row>
    <row r="1913" spans="2:2" x14ac:dyDescent="0.25">
      <c r="B1913" s="1">
        <v>44131</v>
      </c>
    </row>
    <row r="1914" spans="2:2" x14ac:dyDescent="0.25">
      <c r="B1914" s="1">
        <v>44132</v>
      </c>
    </row>
    <row r="1915" spans="2:2" x14ac:dyDescent="0.25">
      <c r="B1915" s="1">
        <v>44133</v>
      </c>
    </row>
    <row r="1916" spans="2:2" x14ac:dyDescent="0.25">
      <c r="B1916" s="1">
        <v>44134</v>
      </c>
    </row>
    <row r="1917" spans="2:2" x14ac:dyDescent="0.25">
      <c r="B1917" s="1">
        <v>44135</v>
      </c>
    </row>
    <row r="1918" spans="2:2" x14ac:dyDescent="0.25">
      <c r="B1918" s="1">
        <v>44136</v>
      </c>
    </row>
    <row r="1919" spans="2:2" x14ac:dyDescent="0.25">
      <c r="B1919" s="1">
        <v>44137</v>
      </c>
    </row>
    <row r="1920" spans="2:2" x14ac:dyDescent="0.25">
      <c r="B1920" s="1">
        <v>44138</v>
      </c>
    </row>
    <row r="1921" spans="2:2" x14ac:dyDescent="0.25">
      <c r="B1921" s="1">
        <v>44139</v>
      </c>
    </row>
    <row r="1922" spans="2:2" x14ac:dyDescent="0.25">
      <c r="B1922" s="1">
        <v>44140</v>
      </c>
    </row>
    <row r="1923" spans="2:2" x14ac:dyDescent="0.25">
      <c r="B1923" s="1">
        <v>44141</v>
      </c>
    </row>
    <row r="1924" spans="2:2" x14ac:dyDescent="0.25">
      <c r="B1924" s="1">
        <v>44142</v>
      </c>
    </row>
    <row r="1925" spans="2:2" x14ac:dyDescent="0.25">
      <c r="B1925" s="1">
        <v>44143</v>
      </c>
    </row>
    <row r="1926" spans="2:2" x14ac:dyDescent="0.25">
      <c r="B1926" s="1">
        <v>44144</v>
      </c>
    </row>
    <row r="1927" spans="2:2" x14ac:dyDescent="0.25">
      <c r="B1927" s="1">
        <v>44145</v>
      </c>
    </row>
    <row r="1928" spans="2:2" x14ac:dyDescent="0.25">
      <c r="B1928" s="1">
        <v>44146</v>
      </c>
    </row>
    <row r="1929" spans="2:2" x14ac:dyDescent="0.25">
      <c r="B1929" s="1">
        <v>44147</v>
      </c>
    </row>
    <row r="1930" spans="2:2" x14ac:dyDescent="0.25">
      <c r="B1930" s="1">
        <v>44148</v>
      </c>
    </row>
    <row r="1931" spans="2:2" x14ac:dyDescent="0.25">
      <c r="B1931" s="1">
        <v>44149</v>
      </c>
    </row>
    <row r="1932" spans="2:2" x14ac:dyDescent="0.25">
      <c r="B1932" s="1">
        <v>44150</v>
      </c>
    </row>
    <row r="1933" spans="2:2" x14ac:dyDescent="0.25">
      <c r="B1933" s="1">
        <v>44151</v>
      </c>
    </row>
    <row r="1934" spans="2:2" x14ac:dyDescent="0.25">
      <c r="B1934" s="1">
        <v>44152</v>
      </c>
    </row>
    <row r="1935" spans="2:2" x14ac:dyDescent="0.25">
      <c r="B1935" s="1">
        <v>44153</v>
      </c>
    </row>
    <row r="1936" spans="2:2" x14ac:dyDescent="0.25">
      <c r="B1936" s="1">
        <v>44154</v>
      </c>
    </row>
    <row r="1937" spans="2:2" x14ac:dyDescent="0.25">
      <c r="B1937" s="1">
        <v>44155</v>
      </c>
    </row>
    <row r="1938" spans="2:2" x14ac:dyDescent="0.25">
      <c r="B1938" s="1">
        <v>44156</v>
      </c>
    </row>
    <row r="1939" spans="2:2" x14ac:dyDescent="0.25">
      <c r="B1939" s="1">
        <v>44157</v>
      </c>
    </row>
    <row r="1940" spans="2:2" x14ac:dyDescent="0.25">
      <c r="B1940" s="1">
        <v>44158</v>
      </c>
    </row>
    <row r="1941" spans="2:2" x14ac:dyDescent="0.25">
      <c r="B1941" s="1">
        <v>44159</v>
      </c>
    </row>
    <row r="1942" spans="2:2" x14ac:dyDescent="0.25">
      <c r="B1942" s="1">
        <v>44160</v>
      </c>
    </row>
    <row r="1943" spans="2:2" x14ac:dyDescent="0.25">
      <c r="B1943" s="1">
        <v>44161</v>
      </c>
    </row>
    <row r="1944" spans="2:2" x14ac:dyDescent="0.25">
      <c r="B1944" s="1">
        <v>44162</v>
      </c>
    </row>
    <row r="1945" spans="2:2" x14ac:dyDescent="0.25">
      <c r="B1945" s="1">
        <v>44163</v>
      </c>
    </row>
    <row r="1946" spans="2:2" x14ac:dyDescent="0.25">
      <c r="B1946" s="1">
        <v>44164</v>
      </c>
    </row>
    <row r="1947" spans="2:2" x14ac:dyDescent="0.25">
      <c r="B1947" s="1">
        <v>44165</v>
      </c>
    </row>
    <row r="1948" spans="2:2" x14ac:dyDescent="0.25">
      <c r="B1948" s="1">
        <v>44166</v>
      </c>
    </row>
    <row r="1949" spans="2:2" x14ac:dyDescent="0.25">
      <c r="B1949" s="1">
        <v>44167</v>
      </c>
    </row>
    <row r="1950" spans="2:2" x14ac:dyDescent="0.25">
      <c r="B1950" s="1">
        <v>44168</v>
      </c>
    </row>
    <row r="1951" spans="2:2" x14ac:dyDescent="0.25">
      <c r="B1951" s="1">
        <v>44169</v>
      </c>
    </row>
    <row r="1952" spans="2:2" x14ac:dyDescent="0.25">
      <c r="B1952" s="1">
        <v>44170</v>
      </c>
    </row>
    <row r="1953" spans="2:2" x14ac:dyDescent="0.25">
      <c r="B1953" s="1">
        <v>44171</v>
      </c>
    </row>
    <row r="1954" spans="2:2" x14ac:dyDescent="0.25">
      <c r="B1954" s="1">
        <v>44172</v>
      </c>
    </row>
    <row r="1955" spans="2:2" x14ac:dyDescent="0.25">
      <c r="B1955" s="1">
        <v>44173</v>
      </c>
    </row>
    <row r="1956" spans="2:2" x14ac:dyDescent="0.25">
      <c r="B1956" s="1">
        <v>44174</v>
      </c>
    </row>
    <row r="1957" spans="2:2" x14ac:dyDescent="0.25">
      <c r="B1957" s="1">
        <v>44175</v>
      </c>
    </row>
    <row r="1958" spans="2:2" x14ac:dyDescent="0.25">
      <c r="B1958" s="1">
        <v>44176</v>
      </c>
    </row>
    <row r="1959" spans="2:2" x14ac:dyDescent="0.25">
      <c r="B1959" s="1">
        <v>44177</v>
      </c>
    </row>
    <row r="1960" spans="2:2" x14ac:dyDescent="0.25">
      <c r="B1960" s="1">
        <v>44178</v>
      </c>
    </row>
    <row r="1961" spans="2:2" x14ac:dyDescent="0.25">
      <c r="B1961" s="1">
        <v>44179</v>
      </c>
    </row>
    <row r="1962" spans="2:2" x14ac:dyDescent="0.25">
      <c r="B1962" s="1">
        <v>44180</v>
      </c>
    </row>
    <row r="1963" spans="2:2" x14ac:dyDescent="0.25">
      <c r="B1963" s="1">
        <v>44181</v>
      </c>
    </row>
    <row r="1964" spans="2:2" x14ac:dyDescent="0.25">
      <c r="B1964" s="1">
        <v>44182</v>
      </c>
    </row>
    <row r="1965" spans="2:2" x14ac:dyDescent="0.25">
      <c r="B1965" s="1">
        <v>44183</v>
      </c>
    </row>
    <row r="1966" spans="2:2" x14ac:dyDescent="0.25">
      <c r="B1966" s="1">
        <v>44184</v>
      </c>
    </row>
    <row r="1967" spans="2:2" x14ac:dyDescent="0.25">
      <c r="B1967" s="1">
        <v>44185</v>
      </c>
    </row>
    <row r="1968" spans="2:2" x14ac:dyDescent="0.25">
      <c r="B1968" s="1">
        <v>44186</v>
      </c>
    </row>
    <row r="1969" spans="2:2" x14ac:dyDescent="0.25">
      <c r="B1969" s="1">
        <v>44187</v>
      </c>
    </row>
    <row r="1970" spans="2:2" x14ac:dyDescent="0.25">
      <c r="B1970" s="1">
        <v>44188</v>
      </c>
    </row>
    <row r="1971" spans="2:2" x14ac:dyDescent="0.25">
      <c r="B1971" s="1">
        <v>44189</v>
      </c>
    </row>
    <row r="1972" spans="2:2" x14ac:dyDescent="0.25">
      <c r="B1972" s="1">
        <v>44190</v>
      </c>
    </row>
    <row r="1973" spans="2:2" x14ac:dyDescent="0.25">
      <c r="B1973" s="1">
        <v>44191</v>
      </c>
    </row>
    <row r="1974" spans="2:2" x14ac:dyDescent="0.25">
      <c r="B1974" s="1">
        <v>44192</v>
      </c>
    </row>
    <row r="1975" spans="2:2" x14ac:dyDescent="0.25">
      <c r="B1975" s="1">
        <v>44193</v>
      </c>
    </row>
    <row r="1976" spans="2:2" x14ac:dyDescent="0.25">
      <c r="B1976" s="1">
        <v>44194</v>
      </c>
    </row>
    <row r="1977" spans="2:2" x14ac:dyDescent="0.25">
      <c r="B1977" s="1">
        <v>44195</v>
      </c>
    </row>
    <row r="1978" spans="2:2" x14ac:dyDescent="0.25">
      <c r="B1978" s="1">
        <v>44196</v>
      </c>
    </row>
    <row r="1979" spans="2:2" x14ac:dyDescent="0.25">
      <c r="B1979" s="1">
        <v>44197</v>
      </c>
    </row>
    <row r="1980" spans="2:2" x14ac:dyDescent="0.25">
      <c r="B1980" s="1">
        <v>44198</v>
      </c>
    </row>
    <row r="1981" spans="2:2" x14ac:dyDescent="0.25">
      <c r="B1981" s="1">
        <v>44199</v>
      </c>
    </row>
    <row r="1982" spans="2:2" x14ac:dyDescent="0.25">
      <c r="B1982" s="1">
        <v>44200</v>
      </c>
    </row>
    <row r="1983" spans="2:2" x14ac:dyDescent="0.25">
      <c r="B1983" s="1">
        <v>44201</v>
      </c>
    </row>
    <row r="1984" spans="2:2" x14ac:dyDescent="0.25">
      <c r="B1984" s="1">
        <v>44202</v>
      </c>
    </row>
    <row r="1985" spans="2:2" x14ac:dyDescent="0.25">
      <c r="B1985" s="1">
        <v>44203</v>
      </c>
    </row>
    <row r="1986" spans="2:2" x14ac:dyDescent="0.25">
      <c r="B1986" s="1">
        <v>44204</v>
      </c>
    </row>
    <row r="1987" spans="2:2" x14ac:dyDescent="0.25">
      <c r="B1987" s="1">
        <v>44205</v>
      </c>
    </row>
    <row r="1988" spans="2:2" x14ac:dyDescent="0.25">
      <c r="B1988" s="1">
        <v>44206</v>
      </c>
    </row>
    <row r="1989" spans="2:2" x14ac:dyDescent="0.25">
      <c r="B1989" s="1">
        <v>44207</v>
      </c>
    </row>
    <row r="1990" spans="2:2" x14ac:dyDescent="0.25">
      <c r="B1990" s="1">
        <v>44208</v>
      </c>
    </row>
    <row r="1991" spans="2:2" x14ac:dyDescent="0.25">
      <c r="B1991" s="1">
        <v>44209</v>
      </c>
    </row>
    <row r="1992" spans="2:2" x14ac:dyDescent="0.25">
      <c r="B1992" s="1">
        <v>44210</v>
      </c>
    </row>
    <row r="1993" spans="2:2" x14ac:dyDescent="0.25">
      <c r="B1993" s="1">
        <v>44211</v>
      </c>
    </row>
    <row r="1994" spans="2:2" x14ac:dyDescent="0.25">
      <c r="B1994" s="1">
        <v>44212</v>
      </c>
    </row>
    <row r="1995" spans="2:2" x14ac:dyDescent="0.25">
      <c r="B1995" s="1">
        <v>44213</v>
      </c>
    </row>
    <row r="1996" spans="2:2" x14ac:dyDescent="0.25">
      <c r="B1996" s="1">
        <v>44214</v>
      </c>
    </row>
    <row r="1997" spans="2:2" x14ac:dyDescent="0.25">
      <c r="B1997" s="1">
        <v>44215</v>
      </c>
    </row>
    <row r="1998" spans="2:2" x14ac:dyDescent="0.25">
      <c r="B1998" s="1">
        <v>44216</v>
      </c>
    </row>
    <row r="1999" spans="2:2" x14ac:dyDescent="0.25">
      <c r="B1999" s="1">
        <v>44217</v>
      </c>
    </row>
    <row r="2000" spans="2:2" x14ac:dyDescent="0.25">
      <c r="B2000" s="1">
        <v>44218</v>
      </c>
    </row>
    <row r="2001" spans="2:2" x14ac:dyDescent="0.25">
      <c r="B2001" s="1">
        <v>44219</v>
      </c>
    </row>
    <row r="2002" spans="2:2" x14ac:dyDescent="0.25">
      <c r="B2002" s="1">
        <v>44220</v>
      </c>
    </row>
    <row r="2003" spans="2:2" x14ac:dyDescent="0.25">
      <c r="B2003" s="1">
        <v>44221</v>
      </c>
    </row>
    <row r="2004" spans="2:2" x14ac:dyDescent="0.25">
      <c r="B2004" s="1">
        <v>44222</v>
      </c>
    </row>
    <row r="2005" spans="2:2" x14ac:dyDescent="0.25">
      <c r="B2005" s="1">
        <v>44223</v>
      </c>
    </row>
    <row r="2006" spans="2:2" x14ac:dyDescent="0.25">
      <c r="B2006" s="1">
        <v>44224</v>
      </c>
    </row>
    <row r="2007" spans="2:2" x14ac:dyDescent="0.25">
      <c r="B2007" s="1">
        <v>44225</v>
      </c>
    </row>
    <row r="2008" spans="2:2" x14ac:dyDescent="0.25">
      <c r="B2008" s="1">
        <v>44226</v>
      </c>
    </row>
    <row r="2009" spans="2:2" x14ac:dyDescent="0.25">
      <c r="B2009" s="1">
        <v>44227</v>
      </c>
    </row>
    <row r="2010" spans="2:2" x14ac:dyDescent="0.25">
      <c r="B2010" s="1">
        <v>44228</v>
      </c>
    </row>
    <row r="2011" spans="2:2" x14ac:dyDescent="0.25">
      <c r="B2011" s="1">
        <v>44229</v>
      </c>
    </row>
    <row r="2012" spans="2:2" x14ac:dyDescent="0.25">
      <c r="B2012" s="1">
        <v>44230</v>
      </c>
    </row>
    <row r="2013" spans="2:2" x14ac:dyDescent="0.25">
      <c r="B2013" s="1">
        <v>44231</v>
      </c>
    </row>
    <row r="2014" spans="2:2" x14ac:dyDescent="0.25">
      <c r="B2014" s="1">
        <v>44232</v>
      </c>
    </row>
    <row r="2015" spans="2:2" x14ac:dyDescent="0.25">
      <c r="B2015" s="1">
        <v>44233</v>
      </c>
    </row>
    <row r="2016" spans="2:2" x14ac:dyDescent="0.25">
      <c r="B2016" s="1">
        <v>44234</v>
      </c>
    </row>
    <row r="2017" spans="2:2" x14ac:dyDescent="0.25">
      <c r="B2017" s="1">
        <v>44235</v>
      </c>
    </row>
    <row r="2018" spans="2:2" x14ac:dyDescent="0.25">
      <c r="B2018" s="1">
        <v>44236</v>
      </c>
    </row>
    <row r="2019" spans="2:2" x14ac:dyDescent="0.25">
      <c r="B2019" s="1">
        <v>44237</v>
      </c>
    </row>
    <row r="2020" spans="2:2" x14ac:dyDescent="0.25">
      <c r="B2020" s="1">
        <v>44238</v>
      </c>
    </row>
    <row r="2021" spans="2:2" x14ac:dyDescent="0.25">
      <c r="B2021" s="1">
        <v>44239</v>
      </c>
    </row>
    <row r="2022" spans="2:2" x14ac:dyDescent="0.25">
      <c r="B2022" s="1">
        <v>44240</v>
      </c>
    </row>
    <row r="2023" spans="2:2" x14ac:dyDescent="0.25">
      <c r="B2023" s="1">
        <v>44241</v>
      </c>
    </row>
    <row r="2024" spans="2:2" x14ac:dyDescent="0.25">
      <c r="B2024" s="1">
        <v>44242</v>
      </c>
    </row>
    <row r="2025" spans="2:2" x14ac:dyDescent="0.25">
      <c r="B2025" s="1">
        <v>44243</v>
      </c>
    </row>
    <row r="2026" spans="2:2" x14ac:dyDescent="0.25">
      <c r="B2026" s="1">
        <v>44244</v>
      </c>
    </row>
    <row r="2027" spans="2:2" x14ac:dyDescent="0.25">
      <c r="B2027" s="1">
        <v>44245</v>
      </c>
    </row>
    <row r="2028" spans="2:2" x14ac:dyDescent="0.25">
      <c r="B2028" s="1">
        <v>44246</v>
      </c>
    </row>
    <row r="2029" spans="2:2" x14ac:dyDescent="0.25">
      <c r="B2029" s="1">
        <v>44247</v>
      </c>
    </row>
    <row r="2030" spans="2:2" x14ac:dyDescent="0.25">
      <c r="B2030" s="1">
        <v>44248</v>
      </c>
    </row>
    <row r="2031" spans="2:2" x14ac:dyDescent="0.25">
      <c r="B2031" s="1">
        <v>44249</v>
      </c>
    </row>
    <row r="2032" spans="2:2" x14ac:dyDescent="0.25">
      <c r="B2032" s="1">
        <v>44250</v>
      </c>
    </row>
    <row r="2033" spans="2:2" x14ac:dyDescent="0.25">
      <c r="B2033" s="1">
        <v>44251</v>
      </c>
    </row>
    <row r="2034" spans="2:2" x14ac:dyDescent="0.25">
      <c r="B2034" s="1">
        <v>44252</v>
      </c>
    </row>
    <row r="2035" spans="2:2" x14ac:dyDescent="0.25">
      <c r="B2035" s="1">
        <v>44253</v>
      </c>
    </row>
    <row r="2036" spans="2:2" x14ac:dyDescent="0.25">
      <c r="B2036" s="1">
        <v>44254</v>
      </c>
    </row>
    <row r="2037" spans="2:2" x14ac:dyDescent="0.25">
      <c r="B2037" s="1">
        <v>44255</v>
      </c>
    </row>
    <row r="2038" spans="2:2" x14ac:dyDescent="0.25">
      <c r="B2038" s="1">
        <v>44256</v>
      </c>
    </row>
    <row r="2039" spans="2:2" x14ac:dyDescent="0.25">
      <c r="B2039" s="1">
        <v>44257</v>
      </c>
    </row>
    <row r="2040" spans="2:2" x14ac:dyDescent="0.25">
      <c r="B2040" s="1">
        <v>44258</v>
      </c>
    </row>
    <row r="2041" spans="2:2" x14ac:dyDescent="0.25">
      <c r="B2041" s="1">
        <v>44259</v>
      </c>
    </row>
    <row r="2042" spans="2:2" x14ac:dyDescent="0.25">
      <c r="B2042" s="1">
        <v>44260</v>
      </c>
    </row>
    <row r="2043" spans="2:2" x14ac:dyDescent="0.25">
      <c r="B2043" s="1">
        <v>44261</v>
      </c>
    </row>
    <row r="2044" spans="2:2" x14ac:dyDescent="0.25">
      <c r="B2044" s="1">
        <v>44262</v>
      </c>
    </row>
    <row r="2045" spans="2:2" x14ac:dyDescent="0.25">
      <c r="B2045" s="1">
        <v>44263</v>
      </c>
    </row>
    <row r="2046" spans="2:2" x14ac:dyDescent="0.25">
      <c r="B2046" s="1">
        <v>44264</v>
      </c>
    </row>
    <row r="2047" spans="2:2" x14ac:dyDescent="0.25">
      <c r="B2047" s="1">
        <v>44265</v>
      </c>
    </row>
    <row r="2048" spans="2:2" x14ac:dyDescent="0.25">
      <c r="B2048" s="1">
        <v>44266</v>
      </c>
    </row>
    <row r="2049" spans="2:2" x14ac:dyDescent="0.25">
      <c r="B2049" s="1">
        <v>44267</v>
      </c>
    </row>
    <row r="2050" spans="2:2" x14ac:dyDescent="0.25">
      <c r="B2050" s="1">
        <v>44268</v>
      </c>
    </row>
    <row r="2051" spans="2:2" x14ac:dyDescent="0.25">
      <c r="B2051" s="1">
        <v>44269</v>
      </c>
    </row>
    <row r="2052" spans="2:2" x14ac:dyDescent="0.25">
      <c r="B2052" s="1">
        <v>44270</v>
      </c>
    </row>
    <row r="2053" spans="2:2" x14ac:dyDescent="0.25">
      <c r="B2053" s="1">
        <v>44271</v>
      </c>
    </row>
    <row r="2054" spans="2:2" x14ac:dyDescent="0.25">
      <c r="B2054" s="1">
        <v>44272</v>
      </c>
    </row>
    <row r="2055" spans="2:2" x14ac:dyDescent="0.25">
      <c r="B2055" s="1">
        <v>44273</v>
      </c>
    </row>
    <row r="2056" spans="2:2" x14ac:dyDescent="0.25">
      <c r="B2056" s="1">
        <v>44274</v>
      </c>
    </row>
    <row r="2057" spans="2:2" x14ac:dyDescent="0.25">
      <c r="B2057" s="1">
        <v>44275</v>
      </c>
    </row>
    <row r="2058" spans="2:2" x14ac:dyDescent="0.25">
      <c r="B2058" s="1">
        <v>44276</v>
      </c>
    </row>
    <row r="2059" spans="2:2" x14ac:dyDescent="0.25">
      <c r="B2059" s="1">
        <v>44277</v>
      </c>
    </row>
    <row r="2060" spans="2:2" x14ac:dyDescent="0.25">
      <c r="B2060" s="1">
        <v>44278</v>
      </c>
    </row>
    <row r="2061" spans="2:2" x14ac:dyDescent="0.25">
      <c r="B2061" s="1">
        <v>44279</v>
      </c>
    </row>
    <row r="2062" spans="2:2" x14ac:dyDescent="0.25">
      <c r="B2062" s="1">
        <v>44280</v>
      </c>
    </row>
    <row r="2063" spans="2:2" x14ac:dyDescent="0.25">
      <c r="B2063" s="1">
        <v>44281</v>
      </c>
    </row>
    <row r="2064" spans="2:2" x14ac:dyDescent="0.25">
      <c r="B2064" s="1">
        <v>44282</v>
      </c>
    </row>
    <row r="2065" spans="2:2" x14ac:dyDescent="0.25">
      <c r="B2065" s="1">
        <v>44283</v>
      </c>
    </row>
    <row r="2066" spans="2:2" x14ac:dyDescent="0.25">
      <c r="B2066" s="1">
        <v>44284</v>
      </c>
    </row>
    <row r="2067" spans="2:2" x14ac:dyDescent="0.25">
      <c r="B2067" s="1">
        <v>44285</v>
      </c>
    </row>
    <row r="2068" spans="2:2" x14ac:dyDescent="0.25">
      <c r="B2068" s="1">
        <v>44286</v>
      </c>
    </row>
    <row r="2069" spans="2:2" x14ac:dyDescent="0.25">
      <c r="B2069" s="1">
        <v>44287</v>
      </c>
    </row>
    <row r="2070" spans="2:2" x14ac:dyDescent="0.25">
      <c r="B2070" s="1">
        <v>44288</v>
      </c>
    </row>
    <row r="2071" spans="2:2" x14ac:dyDescent="0.25">
      <c r="B2071" s="1">
        <v>44289</v>
      </c>
    </row>
    <row r="2072" spans="2:2" x14ac:dyDescent="0.25">
      <c r="B2072" s="1">
        <v>44290</v>
      </c>
    </row>
    <row r="2073" spans="2:2" x14ac:dyDescent="0.25">
      <c r="B2073" s="1">
        <v>44291</v>
      </c>
    </row>
    <row r="2074" spans="2:2" x14ac:dyDescent="0.25">
      <c r="B2074" s="1">
        <v>44292</v>
      </c>
    </row>
    <row r="2075" spans="2:2" x14ac:dyDescent="0.25">
      <c r="B2075" s="1">
        <v>44293</v>
      </c>
    </row>
    <row r="2076" spans="2:2" x14ac:dyDescent="0.25">
      <c r="B2076" s="1">
        <v>44294</v>
      </c>
    </row>
    <row r="2077" spans="2:2" x14ac:dyDescent="0.25">
      <c r="B2077" s="1">
        <v>44295</v>
      </c>
    </row>
    <row r="2078" spans="2:2" x14ac:dyDescent="0.25">
      <c r="B2078" s="1">
        <v>44296</v>
      </c>
    </row>
    <row r="2079" spans="2:2" x14ac:dyDescent="0.25">
      <c r="B2079" s="1">
        <v>44297</v>
      </c>
    </row>
    <row r="2080" spans="2:2" x14ac:dyDescent="0.25">
      <c r="B2080" s="1">
        <v>44298</v>
      </c>
    </row>
    <row r="2081" spans="2:2" x14ac:dyDescent="0.25">
      <c r="B2081" s="1">
        <v>44299</v>
      </c>
    </row>
    <row r="2082" spans="2:2" x14ac:dyDescent="0.25">
      <c r="B2082" s="1">
        <v>44300</v>
      </c>
    </row>
    <row r="2083" spans="2:2" x14ac:dyDescent="0.25">
      <c r="B2083" s="1">
        <v>44301</v>
      </c>
    </row>
    <row r="2084" spans="2:2" x14ac:dyDescent="0.25">
      <c r="B2084" s="1">
        <v>44302</v>
      </c>
    </row>
    <row r="2085" spans="2:2" x14ac:dyDescent="0.25">
      <c r="B2085" s="1">
        <v>44303</v>
      </c>
    </row>
    <row r="2086" spans="2:2" x14ac:dyDescent="0.25">
      <c r="B2086" s="1">
        <v>44304</v>
      </c>
    </row>
    <row r="2087" spans="2:2" x14ac:dyDescent="0.25">
      <c r="B2087" s="1">
        <v>44305</v>
      </c>
    </row>
    <row r="2088" spans="2:2" x14ac:dyDescent="0.25">
      <c r="B2088" s="1">
        <v>44306</v>
      </c>
    </row>
    <row r="2089" spans="2:2" x14ac:dyDescent="0.25">
      <c r="B2089" s="1">
        <v>44307</v>
      </c>
    </row>
    <row r="2090" spans="2:2" x14ac:dyDescent="0.25">
      <c r="B2090" s="1">
        <v>44308</v>
      </c>
    </row>
    <row r="2091" spans="2:2" x14ac:dyDescent="0.25">
      <c r="B2091" s="1">
        <v>44309</v>
      </c>
    </row>
    <row r="2092" spans="2:2" x14ac:dyDescent="0.25">
      <c r="B2092" s="1">
        <v>44310</v>
      </c>
    </row>
    <row r="2093" spans="2:2" x14ac:dyDescent="0.25">
      <c r="B2093" s="1">
        <v>44311</v>
      </c>
    </row>
    <row r="2094" spans="2:2" x14ac:dyDescent="0.25">
      <c r="B2094" s="1">
        <v>44312</v>
      </c>
    </row>
    <row r="2095" spans="2:2" x14ac:dyDescent="0.25">
      <c r="B2095" s="1">
        <v>44313</v>
      </c>
    </row>
    <row r="2096" spans="2:2" x14ac:dyDescent="0.25">
      <c r="B2096" s="1">
        <v>44314</v>
      </c>
    </row>
    <row r="2097" spans="2:2" x14ac:dyDescent="0.25">
      <c r="B2097" s="1">
        <v>44315</v>
      </c>
    </row>
    <row r="2098" spans="2:2" x14ac:dyDescent="0.25">
      <c r="B2098" s="1">
        <v>44316</v>
      </c>
    </row>
    <row r="2099" spans="2:2" x14ac:dyDescent="0.25">
      <c r="B2099" s="1">
        <v>44317</v>
      </c>
    </row>
    <row r="2100" spans="2:2" x14ac:dyDescent="0.25">
      <c r="B2100" s="1">
        <v>44318</v>
      </c>
    </row>
    <row r="2101" spans="2:2" x14ac:dyDescent="0.25">
      <c r="B2101" s="1">
        <v>44319</v>
      </c>
    </row>
    <row r="2102" spans="2:2" x14ac:dyDescent="0.25">
      <c r="B2102" s="1">
        <v>44320</v>
      </c>
    </row>
    <row r="2103" spans="2:2" x14ac:dyDescent="0.25">
      <c r="B2103" s="1">
        <v>44321</v>
      </c>
    </row>
    <row r="2104" spans="2:2" x14ac:dyDescent="0.25">
      <c r="B2104" s="1">
        <v>44322</v>
      </c>
    </row>
    <row r="2105" spans="2:2" x14ac:dyDescent="0.25">
      <c r="B2105" s="1">
        <v>44323</v>
      </c>
    </row>
    <row r="2106" spans="2:2" x14ac:dyDescent="0.25">
      <c r="B2106" s="1">
        <v>44324</v>
      </c>
    </row>
    <row r="2107" spans="2:2" x14ac:dyDescent="0.25">
      <c r="B2107" s="1">
        <v>44325</v>
      </c>
    </row>
    <row r="2108" spans="2:2" x14ac:dyDescent="0.25">
      <c r="B2108" s="1">
        <v>44326</v>
      </c>
    </row>
    <row r="2109" spans="2:2" x14ac:dyDescent="0.25">
      <c r="B2109" s="1">
        <v>44327</v>
      </c>
    </row>
    <row r="2110" spans="2:2" x14ac:dyDescent="0.25">
      <c r="B2110" s="1">
        <v>44328</v>
      </c>
    </row>
    <row r="2111" spans="2:2" x14ac:dyDescent="0.25">
      <c r="B2111" s="1">
        <v>44329</v>
      </c>
    </row>
    <row r="2112" spans="2:2" x14ac:dyDescent="0.25">
      <c r="B2112" s="1">
        <v>44330</v>
      </c>
    </row>
    <row r="2113" spans="2:2" x14ac:dyDescent="0.25">
      <c r="B2113" s="1">
        <v>44331</v>
      </c>
    </row>
    <row r="2114" spans="2:2" x14ac:dyDescent="0.25">
      <c r="B2114" s="1">
        <v>44332</v>
      </c>
    </row>
    <row r="2115" spans="2:2" x14ac:dyDescent="0.25">
      <c r="B2115" s="1">
        <v>44333</v>
      </c>
    </row>
    <row r="2116" spans="2:2" x14ac:dyDescent="0.25">
      <c r="B2116" s="1">
        <v>44334</v>
      </c>
    </row>
    <row r="2117" spans="2:2" x14ac:dyDescent="0.25">
      <c r="B2117" s="1">
        <v>44335</v>
      </c>
    </row>
    <row r="2118" spans="2:2" x14ac:dyDescent="0.25">
      <c r="B2118" s="1">
        <v>44336</v>
      </c>
    </row>
    <row r="2119" spans="2:2" x14ac:dyDescent="0.25">
      <c r="B2119" s="1">
        <v>44337</v>
      </c>
    </row>
    <row r="2120" spans="2:2" x14ac:dyDescent="0.25">
      <c r="B2120" s="1">
        <v>44338</v>
      </c>
    </row>
    <row r="2121" spans="2:2" x14ac:dyDescent="0.25">
      <c r="B2121" s="1">
        <v>44339</v>
      </c>
    </row>
    <row r="2122" spans="2:2" x14ac:dyDescent="0.25">
      <c r="B2122" s="1">
        <v>44340</v>
      </c>
    </row>
    <row r="2123" spans="2:2" x14ac:dyDescent="0.25">
      <c r="B2123" s="1">
        <v>44341</v>
      </c>
    </row>
    <row r="2124" spans="2:2" x14ac:dyDescent="0.25">
      <c r="B2124" s="1">
        <v>44342</v>
      </c>
    </row>
    <row r="2125" spans="2:2" x14ac:dyDescent="0.25">
      <c r="B2125" s="1">
        <v>44343</v>
      </c>
    </row>
    <row r="2126" spans="2:2" x14ac:dyDescent="0.25">
      <c r="B2126" s="1">
        <v>44344</v>
      </c>
    </row>
    <row r="2127" spans="2:2" x14ac:dyDescent="0.25">
      <c r="B2127" s="1">
        <v>44345</v>
      </c>
    </row>
    <row r="2128" spans="2:2" x14ac:dyDescent="0.25">
      <c r="B2128" s="1">
        <v>44346</v>
      </c>
    </row>
    <row r="2129" spans="2:2" x14ac:dyDescent="0.25">
      <c r="B2129" s="1">
        <v>44347</v>
      </c>
    </row>
    <row r="2130" spans="2:2" x14ac:dyDescent="0.25">
      <c r="B2130" s="1">
        <v>44348</v>
      </c>
    </row>
    <row r="2131" spans="2:2" x14ac:dyDescent="0.25">
      <c r="B2131" s="1">
        <v>44349</v>
      </c>
    </row>
    <row r="2132" spans="2:2" x14ac:dyDescent="0.25">
      <c r="B2132" s="1">
        <v>44350</v>
      </c>
    </row>
    <row r="2133" spans="2:2" x14ac:dyDescent="0.25">
      <c r="B2133" s="1">
        <v>44351</v>
      </c>
    </row>
    <row r="2134" spans="2:2" x14ac:dyDescent="0.25">
      <c r="B2134" s="1">
        <v>44352</v>
      </c>
    </row>
    <row r="2135" spans="2:2" x14ac:dyDescent="0.25">
      <c r="B2135" s="1">
        <v>44353</v>
      </c>
    </row>
    <row r="2136" spans="2:2" x14ac:dyDescent="0.25">
      <c r="B2136" s="1">
        <v>44354</v>
      </c>
    </row>
    <row r="2137" spans="2:2" x14ac:dyDescent="0.25">
      <c r="B2137" s="1">
        <v>44355</v>
      </c>
    </row>
    <row r="2138" spans="2:2" x14ac:dyDescent="0.25">
      <c r="B2138" s="1">
        <v>44356</v>
      </c>
    </row>
    <row r="2139" spans="2:2" x14ac:dyDescent="0.25">
      <c r="B2139" s="1">
        <v>44357</v>
      </c>
    </row>
    <row r="2140" spans="2:2" x14ac:dyDescent="0.25">
      <c r="B2140" s="1">
        <v>44358</v>
      </c>
    </row>
    <row r="2141" spans="2:2" x14ac:dyDescent="0.25">
      <c r="B2141" s="1">
        <v>44359</v>
      </c>
    </row>
    <row r="2142" spans="2:2" x14ac:dyDescent="0.25">
      <c r="B2142" s="1">
        <v>44360</v>
      </c>
    </row>
    <row r="2143" spans="2:2" x14ac:dyDescent="0.25">
      <c r="B2143" s="1">
        <v>44361</v>
      </c>
    </row>
    <row r="2144" spans="2:2" x14ac:dyDescent="0.25">
      <c r="B2144" s="1">
        <v>44362</v>
      </c>
    </row>
    <row r="2145" spans="2:2" x14ac:dyDescent="0.25">
      <c r="B2145" s="1">
        <v>44363</v>
      </c>
    </row>
    <row r="2146" spans="2:2" x14ac:dyDescent="0.25">
      <c r="B2146" s="1">
        <v>44364</v>
      </c>
    </row>
    <row r="2147" spans="2:2" x14ac:dyDescent="0.25">
      <c r="B2147" s="1">
        <v>44365</v>
      </c>
    </row>
    <row r="2148" spans="2:2" x14ac:dyDescent="0.25">
      <c r="B2148" s="1">
        <v>44366</v>
      </c>
    </row>
    <row r="2149" spans="2:2" x14ac:dyDescent="0.25">
      <c r="B2149" s="1">
        <v>44367</v>
      </c>
    </row>
    <row r="2150" spans="2:2" x14ac:dyDescent="0.25">
      <c r="B2150" s="1">
        <v>44368</v>
      </c>
    </row>
    <row r="2151" spans="2:2" x14ac:dyDescent="0.25">
      <c r="B2151" s="1">
        <v>44369</v>
      </c>
    </row>
    <row r="2152" spans="2:2" x14ac:dyDescent="0.25">
      <c r="B2152" s="1">
        <v>44370</v>
      </c>
    </row>
    <row r="2153" spans="2:2" x14ac:dyDescent="0.25">
      <c r="B2153" s="1">
        <v>44371</v>
      </c>
    </row>
    <row r="2154" spans="2:2" x14ac:dyDescent="0.25">
      <c r="B2154" s="1">
        <v>44372</v>
      </c>
    </row>
    <row r="2155" spans="2:2" x14ac:dyDescent="0.25">
      <c r="B2155" s="1">
        <v>44373</v>
      </c>
    </row>
    <row r="2156" spans="2:2" x14ac:dyDescent="0.25">
      <c r="B2156" s="1">
        <v>44374</v>
      </c>
    </row>
    <row r="2157" spans="2:2" x14ac:dyDescent="0.25">
      <c r="B2157" s="1">
        <v>44375</v>
      </c>
    </row>
    <row r="2158" spans="2:2" x14ac:dyDescent="0.25">
      <c r="B2158" s="1">
        <v>44376</v>
      </c>
    </row>
    <row r="2159" spans="2:2" x14ac:dyDescent="0.25">
      <c r="B2159" s="1">
        <v>44377</v>
      </c>
    </row>
    <row r="2160" spans="2:2" x14ac:dyDescent="0.25">
      <c r="B2160" s="1">
        <v>44378</v>
      </c>
    </row>
    <row r="2161" spans="2:2" x14ac:dyDescent="0.25">
      <c r="B2161" s="1">
        <v>44379</v>
      </c>
    </row>
    <row r="2162" spans="2:2" x14ac:dyDescent="0.25">
      <c r="B2162" s="1">
        <v>44380</v>
      </c>
    </row>
    <row r="2163" spans="2:2" x14ac:dyDescent="0.25">
      <c r="B2163" s="1">
        <v>44381</v>
      </c>
    </row>
    <row r="2164" spans="2:2" x14ac:dyDescent="0.25">
      <c r="B2164" s="1">
        <v>44382</v>
      </c>
    </row>
    <row r="2165" spans="2:2" x14ac:dyDescent="0.25">
      <c r="B2165" s="1">
        <v>44383</v>
      </c>
    </row>
    <row r="2166" spans="2:2" x14ac:dyDescent="0.25">
      <c r="B2166" s="1">
        <v>44384</v>
      </c>
    </row>
    <row r="2167" spans="2:2" x14ac:dyDescent="0.25">
      <c r="B2167" s="1">
        <v>44385</v>
      </c>
    </row>
    <row r="2168" spans="2:2" x14ac:dyDescent="0.25">
      <c r="B2168" s="1">
        <v>44386</v>
      </c>
    </row>
    <row r="2169" spans="2:2" x14ac:dyDescent="0.25">
      <c r="B2169" s="1">
        <v>44387</v>
      </c>
    </row>
    <row r="2170" spans="2:2" x14ac:dyDescent="0.25">
      <c r="B2170" s="1">
        <v>44388</v>
      </c>
    </row>
    <row r="2171" spans="2:2" x14ac:dyDescent="0.25">
      <c r="B2171" s="1">
        <v>44389</v>
      </c>
    </row>
    <row r="2172" spans="2:2" x14ac:dyDescent="0.25">
      <c r="B2172" s="1">
        <v>44390</v>
      </c>
    </row>
    <row r="2173" spans="2:2" x14ac:dyDescent="0.25">
      <c r="B2173" s="1">
        <v>44391</v>
      </c>
    </row>
    <row r="2174" spans="2:2" x14ac:dyDescent="0.25">
      <c r="B2174" s="1">
        <v>44392</v>
      </c>
    </row>
    <row r="2175" spans="2:2" x14ac:dyDescent="0.25">
      <c r="B2175" s="1">
        <v>44393</v>
      </c>
    </row>
    <row r="2176" spans="2:2" x14ac:dyDescent="0.25">
      <c r="B2176" s="1">
        <v>44394</v>
      </c>
    </row>
    <row r="2177" spans="2:2" x14ac:dyDescent="0.25">
      <c r="B2177" s="1">
        <v>44395</v>
      </c>
    </row>
    <row r="2178" spans="2:2" x14ac:dyDescent="0.25">
      <c r="B2178" s="1">
        <v>44396</v>
      </c>
    </row>
    <row r="2179" spans="2:2" x14ac:dyDescent="0.25">
      <c r="B2179" s="1">
        <v>44397</v>
      </c>
    </row>
    <row r="2180" spans="2:2" x14ac:dyDescent="0.25">
      <c r="B2180" s="1">
        <v>44398</v>
      </c>
    </row>
    <row r="2181" spans="2:2" x14ac:dyDescent="0.25">
      <c r="B2181" s="1">
        <v>44399</v>
      </c>
    </row>
    <row r="2182" spans="2:2" x14ac:dyDescent="0.25">
      <c r="B2182" s="1">
        <v>44400</v>
      </c>
    </row>
    <row r="2183" spans="2:2" x14ac:dyDescent="0.25">
      <c r="B2183" s="1">
        <v>44401</v>
      </c>
    </row>
    <row r="2184" spans="2:2" x14ac:dyDescent="0.25">
      <c r="B2184" s="1">
        <v>44402</v>
      </c>
    </row>
    <row r="2185" spans="2:2" x14ac:dyDescent="0.25">
      <c r="B2185" s="1">
        <v>44403</v>
      </c>
    </row>
    <row r="2186" spans="2:2" x14ac:dyDescent="0.25">
      <c r="B2186" s="1">
        <v>44404</v>
      </c>
    </row>
    <row r="2187" spans="2:2" x14ac:dyDescent="0.25">
      <c r="B2187" s="1">
        <v>44405</v>
      </c>
    </row>
    <row r="2188" spans="2:2" x14ac:dyDescent="0.25">
      <c r="B2188" s="1">
        <v>44406</v>
      </c>
    </row>
    <row r="2189" spans="2:2" x14ac:dyDescent="0.25">
      <c r="B2189" s="1">
        <v>44407</v>
      </c>
    </row>
    <row r="2190" spans="2:2" x14ac:dyDescent="0.25">
      <c r="B2190" s="1">
        <v>44408</v>
      </c>
    </row>
    <row r="2191" spans="2:2" x14ac:dyDescent="0.25">
      <c r="B2191" s="1">
        <v>44409</v>
      </c>
    </row>
    <row r="2192" spans="2:2" x14ac:dyDescent="0.25">
      <c r="B2192" s="1">
        <v>44410</v>
      </c>
    </row>
    <row r="2193" spans="2:2" x14ac:dyDescent="0.25">
      <c r="B2193" s="1">
        <v>44411</v>
      </c>
    </row>
    <row r="2194" spans="2:2" x14ac:dyDescent="0.25">
      <c r="B2194" s="1">
        <v>44412</v>
      </c>
    </row>
    <row r="2195" spans="2:2" x14ac:dyDescent="0.25">
      <c r="B2195" s="1">
        <v>44413</v>
      </c>
    </row>
    <row r="2196" spans="2:2" x14ac:dyDescent="0.25">
      <c r="B2196" s="1">
        <v>44414</v>
      </c>
    </row>
    <row r="2197" spans="2:2" x14ac:dyDescent="0.25">
      <c r="B2197" s="1">
        <v>44415</v>
      </c>
    </row>
    <row r="2198" spans="2:2" x14ac:dyDescent="0.25">
      <c r="B2198" s="1">
        <v>44416</v>
      </c>
    </row>
    <row r="2199" spans="2:2" x14ac:dyDescent="0.25">
      <c r="B2199" s="1">
        <v>44417</v>
      </c>
    </row>
    <row r="2200" spans="2:2" x14ac:dyDescent="0.25">
      <c r="B2200" s="1">
        <v>44418</v>
      </c>
    </row>
    <row r="2201" spans="2:2" x14ac:dyDescent="0.25">
      <c r="B2201" s="1">
        <v>44419</v>
      </c>
    </row>
    <row r="2202" spans="2:2" x14ac:dyDescent="0.25">
      <c r="B2202" s="1">
        <v>44420</v>
      </c>
    </row>
    <row r="2203" spans="2:2" x14ac:dyDescent="0.25">
      <c r="B2203" s="1">
        <v>44421</v>
      </c>
    </row>
    <row r="2204" spans="2:2" x14ac:dyDescent="0.25">
      <c r="B2204" s="1">
        <v>44422</v>
      </c>
    </row>
    <row r="2205" spans="2:2" x14ac:dyDescent="0.25">
      <c r="B2205" s="1">
        <v>44423</v>
      </c>
    </row>
    <row r="2206" spans="2:2" x14ac:dyDescent="0.25">
      <c r="B2206" s="1">
        <v>44424</v>
      </c>
    </row>
    <row r="2207" spans="2:2" x14ac:dyDescent="0.25">
      <c r="B2207" s="1">
        <v>44425</v>
      </c>
    </row>
    <row r="2208" spans="2:2" x14ac:dyDescent="0.25">
      <c r="B2208" s="1">
        <v>44426</v>
      </c>
    </row>
    <row r="2209" spans="2:2" x14ac:dyDescent="0.25">
      <c r="B2209" s="1">
        <v>44427</v>
      </c>
    </row>
    <row r="2210" spans="2:2" x14ac:dyDescent="0.25">
      <c r="B2210" s="1">
        <v>44428</v>
      </c>
    </row>
    <row r="2211" spans="2:2" x14ac:dyDescent="0.25">
      <c r="B2211" s="1">
        <v>44429</v>
      </c>
    </row>
    <row r="2212" spans="2:2" x14ac:dyDescent="0.25">
      <c r="B2212" s="1">
        <v>44430</v>
      </c>
    </row>
    <row r="2213" spans="2:2" x14ac:dyDescent="0.25">
      <c r="B2213" s="1">
        <v>44431</v>
      </c>
    </row>
    <row r="2214" spans="2:2" x14ac:dyDescent="0.25">
      <c r="B2214" s="1">
        <v>44432</v>
      </c>
    </row>
    <row r="2215" spans="2:2" x14ac:dyDescent="0.25">
      <c r="B2215" s="1">
        <v>44433</v>
      </c>
    </row>
    <row r="2216" spans="2:2" x14ac:dyDescent="0.25">
      <c r="B2216" s="1">
        <v>44434</v>
      </c>
    </row>
    <row r="2217" spans="2:2" x14ac:dyDescent="0.25">
      <c r="B2217" s="1">
        <v>44435</v>
      </c>
    </row>
    <row r="2218" spans="2:2" x14ac:dyDescent="0.25">
      <c r="B2218" s="1">
        <v>44436</v>
      </c>
    </row>
    <row r="2219" spans="2:2" x14ac:dyDescent="0.25">
      <c r="B2219" s="1">
        <v>44437</v>
      </c>
    </row>
    <row r="2220" spans="2:2" x14ac:dyDescent="0.25">
      <c r="B2220" s="1">
        <v>44438</v>
      </c>
    </row>
    <row r="2221" spans="2:2" x14ac:dyDescent="0.25">
      <c r="B2221" s="1">
        <v>44439</v>
      </c>
    </row>
    <row r="2222" spans="2:2" x14ac:dyDescent="0.25">
      <c r="B2222" s="1">
        <v>44440</v>
      </c>
    </row>
    <row r="2223" spans="2:2" x14ac:dyDescent="0.25">
      <c r="B2223" s="1">
        <v>44441</v>
      </c>
    </row>
    <row r="2224" spans="2:2" x14ac:dyDescent="0.25">
      <c r="B2224" s="1">
        <v>44442</v>
      </c>
    </row>
    <row r="2225" spans="2:2" x14ac:dyDescent="0.25">
      <c r="B2225" s="1">
        <v>44443</v>
      </c>
    </row>
    <row r="2226" spans="2:2" x14ac:dyDescent="0.25">
      <c r="B2226" s="1">
        <v>44444</v>
      </c>
    </row>
    <row r="2227" spans="2:2" x14ac:dyDescent="0.25">
      <c r="B2227" s="1">
        <v>44445</v>
      </c>
    </row>
    <row r="2228" spans="2:2" x14ac:dyDescent="0.25">
      <c r="B2228" s="1">
        <v>44446</v>
      </c>
    </row>
    <row r="2229" spans="2:2" x14ac:dyDescent="0.25">
      <c r="B2229" s="1">
        <v>44447</v>
      </c>
    </row>
    <row r="2230" spans="2:2" x14ac:dyDescent="0.25">
      <c r="B2230" s="1">
        <v>44448</v>
      </c>
    </row>
    <row r="2231" spans="2:2" x14ac:dyDescent="0.25">
      <c r="B2231" s="1">
        <v>44449</v>
      </c>
    </row>
    <row r="2232" spans="2:2" x14ac:dyDescent="0.25">
      <c r="B2232" s="1">
        <v>44450</v>
      </c>
    </row>
    <row r="2233" spans="2:2" x14ac:dyDescent="0.25">
      <c r="B2233" s="1">
        <v>44451</v>
      </c>
    </row>
    <row r="2234" spans="2:2" x14ac:dyDescent="0.25">
      <c r="B2234" s="1">
        <v>44452</v>
      </c>
    </row>
    <row r="2235" spans="2:2" x14ac:dyDescent="0.25">
      <c r="B2235" s="1">
        <v>44453</v>
      </c>
    </row>
    <row r="2236" spans="2:2" x14ac:dyDescent="0.25">
      <c r="B2236" s="1">
        <v>44454</v>
      </c>
    </row>
    <row r="2237" spans="2:2" x14ac:dyDescent="0.25">
      <c r="B2237" s="1">
        <v>44455</v>
      </c>
    </row>
    <row r="2238" spans="2:2" x14ac:dyDescent="0.25">
      <c r="B2238" s="1">
        <v>44456</v>
      </c>
    </row>
    <row r="2239" spans="2:2" x14ac:dyDescent="0.25">
      <c r="B2239" s="1">
        <v>44457</v>
      </c>
    </row>
    <row r="2240" spans="2:2" x14ac:dyDescent="0.25">
      <c r="B2240" s="1">
        <v>44458</v>
      </c>
    </row>
    <row r="2241" spans="2:2" x14ac:dyDescent="0.25">
      <c r="B2241" s="1">
        <v>44459</v>
      </c>
    </row>
    <row r="2242" spans="2:2" x14ac:dyDescent="0.25">
      <c r="B2242" s="1">
        <v>44460</v>
      </c>
    </row>
    <row r="2243" spans="2:2" x14ac:dyDescent="0.25">
      <c r="B2243" s="1">
        <v>44461</v>
      </c>
    </row>
    <row r="2244" spans="2:2" x14ac:dyDescent="0.25">
      <c r="B2244" s="1">
        <v>44462</v>
      </c>
    </row>
    <row r="2245" spans="2:2" x14ac:dyDescent="0.25">
      <c r="B2245" s="1">
        <v>44463</v>
      </c>
    </row>
    <row r="2246" spans="2:2" x14ac:dyDescent="0.25">
      <c r="B2246" s="1">
        <v>44464</v>
      </c>
    </row>
    <row r="2247" spans="2:2" x14ac:dyDescent="0.25">
      <c r="B2247" s="1">
        <v>44465</v>
      </c>
    </row>
    <row r="2248" spans="2:2" x14ac:dyDescent="0.25">
      <c r="B2248" s="1">
        <v>44466</v>
      </c>
    </row>
    <row r="2249" spans="2:2" x14ac:dyDescent="0.25">
      <c r="B2249" s="1">
        <v>44467</v>
      </c>
    </row>
    <row r="2250" spans="2:2" x14ac:dyDescent="0.25">
      <c r="B2250" s="1">
        <v>44468</v>
      </c>
    </row>
    <row r="2251" spans="2:2" x14ac:dyDescent="0.25">
      <c r="B2251" s="1">
        <v>44469</v>
      </c>
    </row>
    <row r="2252" spans="2:2" x14ac:dyDescent="0.25">
      <c r="B2252" s="1">
        <v>44470</v>
      </c>
    </row>
    <row r="2253" spans="2:2" x14ac:dyDescent="0.25">
      <c r="B2253" s="1">
        <v>44471</v>
      </c>
    </row>
    <row r="2254" spans="2:2" x14ac:dyDescent="0.25">
      <c r="B2254" s="1">
        <v>44472</v>
      </c>
    </row>
    <row r="2255" spans="2:2" x14ac:dyDescent="0.25">
      <c r="B2255" s="1">
        <v>44473</v>
      </c>
    </row>
    <row r="2256" spans="2:2" x14ac:dyDescent="0.25">
      <c r="B2256" s="1">
        <v>44474</v>
      </c>
    </row>
    <row r="2257" spans="2:2" x14ac:dyDescent="0.25">
      <c r="B2257" s="1">
        <v>44475</v>
      </c>
    </row>
    <row r="2258" spans="2:2" x14ac:dyDescent="0.25">
      <c r="B2258" s="1">
        <v>44476</v>
      </c>
    </row>
    <row r="2259" spans="2:2" x14ac:dyDescent="0.25">
      <c r="B2259" s="1">
        <v>44477</v>
      </c>
    </row>
    <row r="2260" spans="2:2" x14ac:dyDescent="0.25">
      <c r="B2260" s="1">
        <v>44478</v>
      </c>
    </row>
    <row r="2261" spans="2:2" x14ac:dyDescent="0.25">
      <c r="B2261" s="1">
        <v>44479</v>
      </c>
    </row>
    <row r="2262" spans="2:2" x14ac:dyDescent="0.25">
      <c r="B2262" s="1">
        <v>44480</v>
      </c>
    </row>
    <row r="2263" spans="2:2" x14ac:dyDescent="0.25">
      <c r="B2263" s="1">
        <v>44481</v>
      </c>
    </row>
    <row r="2264" spans="2:2" x14ac:dyDescent="0.25">
      <c r="B2264" s="1">
        <v>44482</v>
      </c>
    </row>
    <row r="2265" spans="2:2" x14ac:dyDescent="0.25">
      <c r="B2265" s="1">
        <v>44483</v>
      </c>
    </row>
    <row r="2266" spans="2:2" x14ac:dyDescent="0.25">
      <c r="B2266" s="1">
        <v>44484</v>
      </c>
    </row>
    <row r="2267" spans="2:2" x14ac:dyDescent="0.25">
      <c r="B2267" s="1">
        <v>44485</v>
      </c>
    </row>
    <row r="2268" spans="2:2" x14ac:dyDescent="0.25">
      <c r="B2268" s="1">
        <v>44486</v>
      </c>
    </row>
    <row r="2269" spans="2:2" x14ac:dyDescent="0.25">
      <c r="B2269" s="1">
        <v>44487</v>
      </c>
    </row>
    <row r="2270" spans="2:2" x14ac:dyDescent="0.25">
      <c r="B2270" s="1">
        <v>44488</v>
      </c>
    </row>
    <row r="2271" spans="2:2" x14ac:dyDescent="0.25">
      <c r="B2271" s="1">
        <v>44489</v>
      </c>
    </row>
    <row r="2272" spans="2:2" x14ac:dyDescent="0.25">
      <c r="B2272" s="1">
        <v>44490</v>
      </c>
    </row>
    <row r="2273" spans="2:2" x14ac:dyDescent="0.25">
      <c r="B2273" s="1">
        <v>44491</v>
      </c>
    </row>
    <row r="2274" spans="2:2" x14ac:dyDescent="0.25">
      <c r="B2274" s="1">
        <v>44492</v>
      </c>
    </row>
    <row r="2275" spans="2:2" x14ac:dyDescent="0.25">
      <c r="B2275" s="1">
        <v>44493</v>
      </c>
    </row>
    <row r="2276" spans="2:2" x14ac:dyDescent="0.25">
      <c r="B2276" s="1">
        <v>44494</v>
      </c>
    </row>
    <row r="2277" spans="2:2" x14ac:dyDescent="0.25">
      <c r="B2277" s="1">
        <v>44495</v>
      </c>
    </row>
    <row r="2278" spans="2:2" x14ac:dyDescent="0.25">
      <c r="B2278" s="1">
        <v>44496</v>
      </c>
    </row>
    <row r="2279" spans="2:2" x14ac:dyDescent="0.25">
      <c r="B2279" s="1">
        <v>44497</v>
      </c>
    </row>
    <row r="2280" spans="2:2" x14ac:dyDescent="0.25">
      <c r="B2280" s="1">
        <v>44498</v>
      </c>
    </row>
    <row r="2281" spans="2:2" x14ac:dyDescent="0.25">
      <c r="B2281" s="1">
        <v>44499</v>
      </c>
    </row>
    <row r="2282" spans="2:2" x14ac:dyDescent="0.25">
      <c r="B2282" s="1">
        <v>44500</v>
      </c>
    </row>
    <row r="2283" spans="2:2" x14ac:dyDescent="0.25">
      <c r="B2283" s="1">
        <v>44501</v>
      </c>
    </row>
    <row r="2284" spans="2:2" x14ac:dyDescent="0.25">
      <c r="B2284" s="1">
        <v>44502</v>
      </c>
    </row>
    <row r="2285" spans="2:2" x14ac:dyDescent="0.25">
      <c r="B2285" s="1">
        <v>44503</v>
      </c>
    </row>
    <row r="2286" spans="2:2" x14ac:dyDescent="0.25">
      <c r="B2286" s="1">
        <v>44504</v>
      </c>
    </row>
    <row r="2287" spans="2:2" x14ac:dyDescent="0.25">
      <c r="B2287" s="1">
        <v>44505</v>
      </c>
    </row>
    <row r="2288" spans="2:2" x14ac:dyDescent="0.25">
      <c r="B2288" s="1">
        <v>44506</v>
      </c>
    </row>
    <row r="2289" spans="2:2" x14ac:dyDescent="0.25">
      <c r="B2289" s="1">
        <v>44507</v>
      </c>
    </row>
    <row r="2290" spans="2:2" x14ac:dyDescent="0.25">
      <c r="B2290" s="1">
        <v>44508</v>
      </c>
    </row>
    <row r="2291" spans="2:2" x14ac:dyDescent="0.25">
      <c r="B2291" s="1">
        <v>44509</v>
      </c>
    </row>
    <row r="2292" spans="2:2" x14ac:dyDescent="0.25">
      <c r="B2292" s="1">
        <v>44510</v>
      </c>
    </row>
    <row r="2293" spans="2:2" x14ac:dyDescent="0.25">
      <c r="B2293" s="1">
        <v>44511</v>
      </c>
    </row>
    <row r="2294" spans="2:2" x14ac:dyDescent="0.25">
      <c r="B2294" s="1">
        <v>44512</v>
      </c>
    </row>
    <row r="2295" spans="2:2" x14ac:dyDescent="0.25">
      <c r="B2295" s="1">
        <v>44513</v>
      </c>
    </row>
    <row r="2296" spans="2:2" x14ac:dyDescent="0.25">
      <c r="B2296" s="1">
        <v>44514</v>
      </c>
    </row>
    <row r="2297" spans="2:2" x14ac:dyDescent="0.25">
      <c r="B2297" s="1">
        <v>44515</v>
      </c>
    </row>
    <row r="2298" spans="2:2" x14ac:dyDescent="0.25">
      <c r="B2298" s="1">
        <v>44516</v>
      </c>
    </row>
    <row r="2299" spans="2:2" x14ac:dyDescent="0.25">
      <c r="B2299" s="1">
        <v>44517</v>
      </c>
    </row>
    <row r="2300" spans="2:2" x14ac:dyDescent="0.25">
      <c r="B2300" s="1">
        <v>44518</v>
      </c>
    </row>
    <row r="2301" spans="2:2" x14ac:dyDescent="0.25">
      <c r="B2301" s="1">
        <v>44519</v>
      </c>
    </row>
    <row r="2302" spans="2:2" x14ac:dyDescent="0.25">
      <c r="B2302" s="1">
        <v>44520</v>
      </c>
    </row>
    <row r="2303" spans="2:2" x14ac:dyDescent="0.25">
      <c r="B2303" s="1">
        <v>44521</v>
      </c>
    </row>
    <row r="2304" spans="2:2" x14ac:dyDescent="0.25">
      <c r="B2304" s="1">
        <v>44522</v>
      </c>
    </row>
    <row r="2305" spans="2:2" x14ac:dyDescent="0.25">
      <c r="B2305" s="1">
        <v>44523</v>
      </c>
    </row>
    <row r="2306" spans="2:2" x14ac:dyDescent="0.25">
      <c r="B2306" s="1">
        <v>44524</v>
      </c>
    </row>
    <row r="2307" spans="2:2" x14ac:dyDescent="0.25">
      <c r="B2307" s="1">
        <v>44525</v>
      </c>
    </row>
    <row r="2308" spans="2:2" x14ac:dyDescent="0.25">
      <c r="B2308" s="1">
        <v>44526</v>
      </c>
    </row>
    <row r="2309" spans="2:2" x14ac:dyDescent="0.25">
      <c r="B2309" s="1">
        <v>44527</v>
      </c>
    </row>
    <row r="2310" spans="2:2" x14ac:dyDescent="0.25">
      <c r="B2310" s="1">
        <v>44528</v>
      </c>
    </row>
    <row r="2311" spans="2:2" x14ac:dyDescent="0.25">
      <c r="B2311" s="1">
        <v>44529</v>
      </c>
    </row>
    <row r="2312" spans="2:2" x14ac:dyDescent="0.25">
      <c r="B2312" s="1">
        <v>44530</v>
      </c>
    </row>
    <row r="2313" spans="2:2" x14ac:dyDescent="0.25">
      <c r="B2313" s="1">
        <v>44531</v>
      </c>
    </row>
    <row r="2314" spans="2:2" x14ac:dyDescent="0.25">
      <c r="B2314" s="1">
        <v>44532</v>
      </c>
    </row>
    <row r="2315" spans="2:2" x14ac:dyDescent="0.25">
      <c r="B2315" s="1">
        <v>44533</v>
      </c>
    </row>
    <row r="2316" spans="2:2" x14ac:dyDescent="0.25">
      <c r="B2316" s="1">
        <v>44534</v>
      </c>
    </row>
    <row r="2317" spans="2:2" x14ac:dyDescent="0.25">
      <c r="B2317" s="1">
        <v>44535</v>
      </c>
    </row>
    <row r="2318" spans="2:2" x14ac:dyDescent="0.25">
      <c r="B2318" s="1">
        <v>44536</v>
      </c>
    </row>
    <row r="2319" spans="2:2" x14ac:dyDescent="0.25">
      <c r="B2319" s="1">
        <v>44537</v>
      </c>
    </row>
    <row r="2320" spans="2:2" x14ac:dyDescent="0.25">
      <c r="B2320" s="1">
        <v>44538</v>
      </c>
    </row>
    <row r="2321" spans="2:2" x14ac:dyDescent="0.25">
      <c r="B2321" s="1">
        <v>44539</v>
      </c>
    </row>
    <row r="2322" spans="2:2" x14ac:dyDescent="0.25">
      <c r="B2322" s="1">
        <v>44540</v>
      </c>
    </row>
    <row r="2323" spans="2:2" x14ac:dyDescent="0.25">
      <c r="B2323" s="1">
        <v>44541</v>
      </c>
    </row>
    <row r="2324" spans="2:2" x14ac:dyDescent="0.25">
      <c r="B2324" s="1">
        <v>44542</v>
      </c>
    </row>
    <row r="2325" spans="2:2" x14ac:dyDescent="0.25">
      <c r="B2325" s="1">
        <v>44543</v>
      </c>
    </row>
    <row r="2326" spans="2:2" x14ac:dyDescent="0.25">
      <c r="B2326" s="1">
        <v>44544</v>
      </c>
    </row>
    <row r="2327" spans="2:2" x14ac:dyDescent="0.25">
      <c r="B2327" s="1">
        <v>44545</v>
      </c>
    </row>
    <row r="2328" spans="2:2" x14ac:dyDescent="0.25">
      <c r="B2328" s="1">
        <v>44546</v>
      </c>
    </row>
    <row r="2329" spans="2:2" x14ac:dyDescent="0.25">
      <c r="B2329" s="1">
        <v>44547</v>
      </c>
    </row>
    <row r="2330" spans="2:2" x14ac:dyDescent="0.25">
      <c r="B2330" s="1">
        <v>44548</v>
      </c>
    </row>
    <row r="2331" spans="2:2" x14ac:dyDescent="0.25">
      <c r="B2331" s="1">
        <v>44549</v>
      </c>
    </row>
    <row r="2332" spans="2:2" x14ac:dyDescent="0.25">
      <c r="B2332" s="1">
        <v>44550</v>
      </c>
    </row>
    <row r="2333" spans="2:2" x14ac:dyDescent="0.25">
      <c r="B2333" s="1">
        <v>44551</v>
      </c>
    </row>
    <row r="2334" spans="2:2" x14ac:dyDescent="0.25">
      <c r="B2334" s="1">
        <v>44552</v>
      </c>
    </row>
    <row r="2335" spans="2:2" x14ac:dyDescent="0.25">
      <c r="B2335" s="1">
        <v>44553</v>
      </c>
    </row>
    <row r="2336" spans="2:2" x14ac:dyDescent="0.25">
      <c r="B2336" s="1">
        <v>44554</v>
      </c>
    </row>
    <row r="2337" spans="2:2" x14ac:dyDescent="0.25">
      <c r="B2337" s="1">
        <v>44555</v>
      </c>
    </row>
    <row r="2338" spans="2:2" x14ac:dyDescent="0.25">
      <c r="B2338" s="1">
        <v>44556</v>
      </c>
    </row>
    <row r="2339" spans="2:2" x14ac:dyDescent="0.25">
      <c r="B2339" s="1">
        <v>44557</v>
      </c>
    </row>
    <row r="2340" spans="2:2" x14ac:dyDescent="0.25">
      <c r="B2340" s="1">
        <v>44558</v>
      </c>
    </row>
    <row r="2341" spans="2:2" x14ac:dyDescent="0.25">
      <c r="B2341" s="1">
        <v>44559</v>
      </c>
    </row>
    <row r="2342" spans="2:2" x14ac:dyDescent="0.25">
      <c r="B2342" s="1">
        <v>44560</v>
      </c>
    </row>
    <row r="2343" spans="2:2" x14ac:dyDescent="0.25">
      <c r="B2343" s="1">
        <v>44561</v>
      </c>
    </row>
    <row r="2344" spans="2:2" x14ac:dyDescent="0.25">
      <c r="B2344" s="1">
        <v>44562</v>
      </c>
    </row>
    <row r="2345" spans="2:2" x14ac:dyDescent="0.25">
      <c r="B2345" s="1">
        <v>44563</v>
      </c>
    </row>
    <row r="2346" spans="2:2" x14ac:dyDescent="0.25">
      <c r="B2346" s="1">
        <v>44564</v>
      </c>
    </row>
    <row r="2347" spans="2:2" x14ac:dyDescent="0.25">
      <c r="B2347" s="1">
        <v>44565</v>
      </c>
    </row>
    <row r="2348" spans="2:2" x14ac:dyDescent="0.25">
      <c r="B2348" s="1">
        <v>44566</v>
      </c>
    </row>
    <row r="2349" spans="2:2" x14ac:dyDescent="0.25">
      <c r="B2349" s="1">
        <v>44567</v>
      </c>
    </row>
    <row r="2350" spans="2:2" x14ac:dyDescent="0.25">
      <c r="B2350" s="1">
        <v>44568</v>
      </c>
    </row>
    <row r="2351" spans="2:2" x14ac:dyDescent="0.25">
      <c r="B2351" s="1">
        <v>44569</v>
      </c>
    </row>
    <row r="2352" spans="2:2" x14ac:dyDescent="0.25">
      <c r="B2352" s="1">
        <v>44570</v>
      </c>
    </row>
    <row r="2353" spans="2:2" x14ac:dyDescent="0.25">
      <c r="B2353" s="1">
        <v>44571</v>
      </c>
    </row>
    <row r="2354" spans="2:2" x14ac:dyDescent="0.25">
      <c r="B2354" s="1">
        <v>44572</v>
      </c>
    </row>
    <row r="2355" spans="2:2" x14ac:dyDescent="0.25">
      <c r="B2355" s="1">
        <v>44573</v>
      </c>
    </row>
    <row r="2356" spans="2:2" x14ac:dyDescent="0.25">
      <c r="B2356" s="1">
        <v>44574</v>
      </c>
    </row>
    <row r="2357" spans="2:2" x14ac:dyDescent="0.25">
      <c r="B2357" s="1">
        <v>44575</v>
      </c>
    </row>
    <row r="2358" spans="2:2" x14ac:dyDescent="0.25">
      <c r="B2358" s="1">
        <v>44576</v>
      </c>
    </row>
    <row r="2359" spans="2:2" x14ac:dyDescent="0.25">
      <c r="B2359" s="1">
        <v>44577</v>
      </c>
    </row>
    <row r="2360" spans="2:2" x14ac:dyDescent="0.25">
      <c r="B2360" s="1">
        <v>44578</v>
      </c>
    </row>
    <row r="2361" spans="2:2" x14ac:dyDescent="0.25">
      <c r="B2361" s="1">
        <v>44579</v>
      </c>
    </row>
    <row r="2362" spans="2:2" x14ac:dyDescent="0.25">
      <c r="B2362" s="1">
        <v>44580</v>
      </c>
    </row>
    <row r="2363" spans="2:2" x14ac:dyDescent="0.25">
      <c r="B2363" s="1">
        <v>44581</v>
      </c>
    </row>
    <row r="2364" spans="2:2" x14ac:dyDescent="0.25">
      <c r="B2364" s="1">
        <v>44582</v>
      </c>
    </row>
    <row r="2365" spans="2:2" x14ac:dyDescent="0.25">
      <c r="B2365" s="1">
        <v>44583</v>
      </c>
    </row>
    <row r="2366" spans="2:2" x14ac:dyDescent="0.25">
      <c r="B2366" s="1">
        <v>44584</v>
      </c>
    </row>
    <row r="2367" spans="2:2" x14ac:dyDescent="0.25">
      <c r="B2367" s="1">
        <v>44585</v>
      </c>
    </row>
    <row r="2368" spans="2:2" x14ac:dyDescent="0.25">
      <c r="B2368" s="1">
        <v>44586</v>
      </c>
    </row>
    <row r="2369" spans="2:2" x14ac:dyDescent="0.25">
      <c r="B2369" s="1">
        <v>44587</v>
      </c>
    </row>
    <row r="2370" spans="2:2" x14ac:dyDescent="0.25">
      <c r="B2370" s="1">
        <v>44588</v>
      </c>
    </row>
    <row r="2371" spans="2:2" x14ac:dyDescent="0.25">
      <c r="B2371" s="1">
        <v>44589</v>
      </c>
    </row>
    <row r="2372" spans="2:2" x14ac:dyDescent="0.25">
      <c r="B2372" s="1">
        <v>44590</v>
      </c>
    </row>
    <row r="2373" spans="2:2" x14ac:dyDescent="0.25">
      <c r="B2373" s="1">
        <v>44591</v>
      </c>
    </row>
    <row r="2374" spans="2:2" x14ac:dyDescent="0.25">
      <c r="B2374" s="1">
        <v>44592</v>
      </c>
    </row>
    <row r="2375" spans="2:2" x14ac:dyDescent="0.25">
      <c r="B2375" s="1">
        <v>44593</v>
      </c>
    </row>
    <row r="2376" spans="2:2" x14ac:dyDescent="0.25">
      <c r="B2376" s="1">
        <v>44594</v>
      </c>
    </row>
    <row r="2377" spans="2:2" x14ac:dyDescent="0.25">
      <c r="B2377" s="1">
        <v>44595</v>
      </c>
    </row>
    <row r="2378" spans="2:2" x14ac:dyDescent="0.25">
      <c r="B2378" s="1">
        <v>44596</v>
      </c>
    </row>
    <row r="2379" spans="2:2" x14ac:dyDescent="0.25">
      <c r="B2379" s="1">
        <v>44597</v>
      </c>
    </row>
    <row r="2380" spans="2:2" x14ac:dyDescent="0.25">
      <c r="B2380" s="1">
        <v>44598</v>
      </c>
    </row>
    <row r="2381" spans="2:2" x14ac:dyDescent="0.25">
      <c r="B2381" s="1">
        <v>44599</v>
      </c>
    </row>
    <row r="2382" spans="2:2" x14ac:dyDescent="0.25">
      <c r="B2382" s="1">
        <v>44600</v>
      </c>
    </row>
    <row r="2383" spans="2:2" x14ac:dyDescent="0.25">
      <c r="B2383" s="1">
        <v>44601</v>
      </c>
    </row>
    <row r="2384" spans="2:2" x14ac:dyDescent="0.25">
      <c r="B2384" s="1">
        <v>44602</v>
      </c>
    </row>
    <row r="2385" spans="2:2" x14ac:dyDescent="0.25">
      <c r="B2385" s="1">
        <v>44603</v>
      </c>
    </row>
    <row r="2386" spans="2:2" x14ac:dyDescent="0.25">
      <c r="B2386" s="1">
        <v>44604</v>
      </c>
    </row>
    <row r="2387" spans="2:2" x14ac:dyDescent="0.25">
      <c r="B2387" s="1">
        <v>44605</v>
      </c>
    </row>
    <row r="2388" spans="2:2" x14ac:dyDescent="0.25">
      <c r="B2388" s="1">
        <v>44606</v>
      </c>
    </row>
    <row r="2389" spans="2:2" x14ac:dyDescent="0.25">
      <c r="B2389" s="1">
        <v>44607</v>
      </c>
    </row>
    <row r="2390" spans="2:2" x14ac:dyDescent="0.25">
      <c r="B2390" s="1">
        <v>44608</v>
      </c>
    </row>
    <row r="2391" spans="2:2" x14ac:dyDescent="0.25">
      <c r="B2391" s="1">
        <v>44609</v>
      </c>
    </row>
    <row r="2392" spans="2:2" x14ac:dyDescent="0.25">
      <c r="B2392" s="1">
        <v>44610</v>
      </c>
    </row>
    <row r="2393" spans="2:2" x14ac:dyDescent="0.25">
      <c r="B2393" s="1">
        <v>44611</v>
      </c>
    </row>
    <row r="2394" spans="2:2" x14ac:dyDescent="0.25">
      <c r="B2394" s="1">
        <v>44612</v>
      </c>
    </row>
    <row r="2395" spans="2:2" x14ac:dyDescent="0.25">
      <c r="B2395" s="1">
        <v>44613</v>
      </c>
    </row>
    <row r="2396" spans="2:2" x14ac:dyDescent="0.25">
      <c r="B2396" s="1">
        <v>44614</v>
      </c>
    </row>
    <row r="2397" spans="2:2" x14ac:dyDescent="0.25">
      <c r="B2397" s="1">
        <v>44615</v>
      </c>
    </row>
    <row r="2398" spans="2:2" x14ac:dyDescent="0.25">
      <c r="B2398" s="1">
        <v>44616</v>
      </c>
    </row>
    <row r="2399" spans="2:2" x14ac:dyDescent="0.25">
      <c r="B2399" s="1">
        <v>44617</v>
      </c>
    </row>
    <row r="2400" spans="2:2" x14ac:dyDescent="0.25">
      <c r="B2400" s="1">
        <v>44618</v>
      </c>
    </row>
    <row r="2401" spans="2:2" x14ac:dyDescent="0.25">
      <c r="B2401" s="1">
        <v>44619</v>
      </c>
    </row>
    <row r="2402" spans="2:2" x14ac:dyDescent="0.25">
      <c r="B2402" s="1">
        <v>44620</v>
      </c>
    </row>
    <row r="2403" spans="2:2" x14ac:dyDescent="0.25">
      <c r="B2403" s="1">
        <v>44621</v>
      </c>
    </row>
    <row r="2404" spans="2:2" x14ac:dyDescent="0.25">
      <c r="B2404" s="1">
        <v>44622</v>
      </c>
    </row>
    <row r="2405" spans="2:2" x14ac:dyDescent="0.25">
      <c r="B2405" s="1">
        <v>44623</v>
      </c>
    </row>
    <row r="2406" spans="2:2" x14ac:dyDescent="0.25">
      <c r="B2406" s="1">
        <v>44624</v>
      </c>
    </row>
    <row r="2407" spans="2:2" x14ac:dyDescent="0.25">
      <c r="B2407" s="1">
        <v>44625</v>
      </c>
    </row>
    <row r="2408" spans="2:2" x14ac:dyDescent="0.25">
      <c r="B2408" s="1">
        <v>44626</v>
      </c>
    </row>
    <row r="2409" spans="2:2" x14ac:dyDescent="0.25">
      <c r="B2409" s="1">
        <v>44627</v>
      </c>
    </row>
    <row r="2410" spans="2:2" x14ac:dyDescent="0.25">
      <c r="B2410" s="1">
        <v>44628</v>
      </c>
    </row>
    <row r="2411" spans="2:2" x14ac:dyDescent="0.25">
      <c r="B2411" s="1">
        <v>44629</v>
      </c>
    </row>
    <row r="2412" spans="2:2" x14ac:dyDescent="0.25">
      <c r="B2412" s="1">
        <v>44630</v>
      </c>
    </row>
    <row r="2413" spans="2:2" x14ac:dyDescent="0.25">
      <c r="B2413" s="1">
        <v>44631</v>
      </c>
    </row>
    <row r="2414" spans="2:2" x14ac:dyDescent="0.25">
      <c r="B2414" s="1">
        <v>44632</v>
      </c>
    </row>
    <row r="2415" spans="2:2" x14ac:dyDescent="0.25">
      <c r="B2415" s="1">
        <v>44633</v>
      </c>
    </row>
    <row r="2416" spans="2:2" x14ac:dyDescent="0.25">
      <c r="B2416" s="1">
        <v>44634</v>
      </c>
    </row>
    <row r="2417" spans="2:2" x14ac:dyDescent="0.25">
      <c r="B2417" s="1">
        <v>44635</v>
      </c>
    </row>
    <row r="2418" spans="2:2" x14ac:dyDescent="0.25">
      <c r="B2418" s="1">
        <v>44636</v>
      </c>
    </row>
    <row r="2419" spans="2:2" x14ac:dyDescent="0.25">
      <c r="B2419" s="1">
        <v>44637</v>
      </c>
    </row>
    <row r="2420" spans="2:2" x14ac:dyDescent="0.25">
      <c r="B2420" s="1">
        <v>44638</v>
      </c>
    </row>
    <row r="2421" spans="2:2" x14ac:dyDescent="0.25">
      <c r="B2421" s="1">
        <v>44639</v>
      </c>
    </row>
    <row r="2422" spans="2:2" x14ac:dyDescent="0.25">
      <c r="B2422" s="1">
        <v>44640</v>
      </c>
    </row>
    <row r="2423" spans="2:2" x14ac:dyDescent="0.25">
      <c r="B2423" s="1">
        <v>44641</v>
      </c>
    </row>
    <row r="2424" spans="2:2" x14ac:dyDescent="0.25">
      <c r="B2424" s="1">
        <v>44642</v>
      </c>
    </row>
    <row r="2425" spans="2:2" x14ac:dyDescent="0.25">
      <c r="B2425" s="1">
        <v>44643</v>
      </c>
    </row>
    <row r="2426" spans="2:2" x14ac:dyDescent="0.25">
      <c r="B2426" s="1">
        <v>44644</v>
      </c>
    </row>
    <row r="2427" spans="2:2" x14ac:dyDescent="0.25">
      <c r="B2427" s="1">
        <v>44645</v>
      </c>
    </row>
    <row r="2428" spans="2:2" x14ac:dyDescent="0.25">
      <c r="B2428" s="1">
        <v>44646</v>
      </c>
    </row>
    <row r="2429" spans="2:2" x14ac:dyDescent="0.25">
      <c r="B2429" s="1">
        <v>44647</v>
      </c>
    </row>
    <row r="2430" spans="2:2" x14ac:dyDescent="0.25">
      <c r="B2430" s="1">
        <v>44648</v>
      </c>
    </row>
    <row r="2431" spans="2:2" x14ac:dyDescent="0.25">
      <c r="B2431" s="1">
        <v>44649</v>
      </c>
    </row>
    <row r="2432" spans="2:2" x14ac:dyDescent="0.25">
      <c r="B2432" s="1">
        <v>44650</v>
      </c>
    </row>
    <row r="2433" spans="2:2" x14ac:dyDescent="0.25">
      <c r="B2433" s="1">
        <v>44651</v>
      </c>
    </row>
    <row r="2434" spans="2:2" x14ac:dyDescent="0.25">
      <c r="B2434" s="1">
        <v>44652</v>
      </c>
    </row>
    <row r="2435" spans="2:2" x14ac:dyDescent="0.25">
      <c r="B2435" s="1">
        <v>44653</v>
      </c>
    </row>
    <row r="2436" spans="2:2" x14ac:dyDescent="0.25">
      <c r="B2436" s="1">
        <v>44654</v>
      </c>
    </row>
    <row r="2437" spans="2:2" x14ac:dyDescent="0.25">
      <c r="B2437" s="1">
        <v>44655</v>
      </c>
    </row>
    <row r="2438" spans="2:2" x14ac:dyDescent="0.25">
      <c r="B2438" s="1">
        <v>44656</v>
      </c>
    </row>
    <row r="2439" spans="2:2" x14ac:dyDescent="0.25">
      <c r="B2439" s="1">
        <v>44657</v>
      </c>
    </row>
    <row r="2440" spans="2:2" x14ac:dyDescent="0.25">
      <c r="B2440" s="1">
        <v>44658</v>
      </c>
    </row>
    <row r="2441" spans="2:2" x14ac:dyDescent="0.25">
      <c r="B2441" s="1">
        <v>44659</v>
      </c>
    </row>
    <row r="2442" spans="2:2" x14ac:dyDescent="0.25">
      <c r="B2442" s="1">
        <v>44660</v>
      </c>
    </row>
    <row r="2443" spans="2:2" x14ac:dyDescent="0.25">
      <c r="B2443" s="1">
        <v>44661</v>
      </c>
    </row>
    <row r="2444" spans="2:2" x14ac:dyDescent="0.25">
      <c r="B2444" s="1">
        <v>44662</v>
      </c>
    </row>
    <row r="2445" spans="2:2" x14ac:dyDescent="0.25">
      <c r="B2445" s="1">
        <v>44663</v>
      </c>
    </row>
    <row r="2446" spans="2:2" x14ac:dyDescent="0.25">
      <c r="B2446" s="1">
        <v>44664</v>
      </c>
    </row>
    <row r="2447" spans="2:2" x14ac:dyDescent="0.25">
      <c r="B2447" s="1">
        <v>44665</v>
      </c>
    </row>
    <row r="2448" spans="2:2" x14ac:dyDescent="0.25">
      <c r="B2448" s="1">
        <v>44666</v>
      </c>
    </row>
    <row r="2449" spans="2:2" x14ac:dyDescent="0.25">
      <c r="B2449" s="1">
        <v>44667</v>
      </c>
    </row>
    <row r="2450" spans="2:2" x14ac:dyDescent="0.25">
      <c r="B2450" s="1">
        <v>44668</v>
      </c>
    </row>
    <row r="2451" spans="2:2" x14ac:dyDescent="0.25">
      <c r="B2451" s="1">
        <v>44669</v>
      </c>
    </row>
    <row r="2452" spans="2:2" x14ac:dyDescent="0.25">
      <c r="B2452" s="1">
        <v>44670</v>
      </c>
    </row>
    <row r="2453" spans="2:2" x14ac:dyDescent="0.25">
      <c r="B2453" s="1">
        <v>44671</v>
      </c>
    </row>
    <row r="2454" spans="2:2" x14ac:dyDescent="0.25">
      <c r="B2454" s="1">
        <v>44672</v>
      </c>
    </row>
    <row r="2455" spans="2:2" x14ac:dyDescent="0.25">
      <c r="B2455" s="1">
        <v>44673</v>
      </c>
    </row>
    <row r="2456" spans="2:2" x14ac:dyDescent="0.25">
      <c r="B2456" s="1">
        <v>44674</v>
      </c>
    </row>
    <row r="2457" spans="2:2" x14ac:dyDescent="0.25">
      <c r="B2457" s="1">
        <v>44675</v>
      </c>
    </row>
    <row r="2458" spans="2:2" x14ac:dyDescent="0.25">
      <c r="B2458" s="1">
        <v>44676</v>
      </c>
    </row>
    <row r="2459" spans="2:2" x14ac:dyDescent="0.25">
      <c r="B2459" s="1">
        <v>44677</v>
      </c>
    </row>
    <row r="2460" spans="2:2" x14ac:dyDescent="0.25">
      <c r="B2460" s="1">
        <v>44678</v>
      </c>
    </row>
    <row r="2461" spans="2:2" x14ac:dyDescent="0.25">
      <c r="B2461" s="1">
        <v>44679</v>
      </c>
    </row>
    <row r="2462" spans="2:2" x14ac:dyDescent="0.25">
      <c r="B2462" s="1">
        <v>44680</v>
      </c>
    </row>
    <row r="2463" spans="2:2" x14ac:dyDescent="0.25">
      <c r="B2463" s="1">
        <v>44681</v>
      </c>
    </row>
    <row r="2464" spans="2:2" x14ac:dyDescent="0.25">
      <c r="B2464" s="1">
        <v>44682</v>
      </c>
    </row>
    <row r="2465" spans="2:2" x14ac:dyDescent="0.25">
      <c r="B2465" s="1">
        <v>44683</v>
      </c>
    </row>
    <row r="2466" spans="2:2" x14ac:dyDescent="0.25">
      <c r="B2466" s="1">
        <v>44684</v>
      </c>
    </row>
    <row r="2467" spans="2:2" x14ac:dyDescent="0.25">
      <c r="B2467" s="1">
        <v>44685</v>
      </c>
    </row>
    <row r="2468" spans="2:2" x14ac:dyDescent="0.25">
      <c r="B2468" s="1">
        <v>44686</v>
      </c>
    </row>
    <row r="2469" spans="2:2" x14ac:dyDescent="0.25">
      <c r="B2469" s="1">
        <v>44687</v>
      </c>
    </row>
    <row r="2470" spans="2:2" x14ac:dyDescent="0.25">
      <c r="B2470" s="1">
        <v>44688</v>
      </c>
    </row>
    <row r="2471" spans="2:2" x14ac:dyDescent="0.25">
      <c r="B2471" s="1">
        <v>44689</v>
      </c>
    </row>
    <row r="2472" spans="2:2" x14ac:dyDescent="0.25">
      <c r="B2472" s="1">
        <v>44690</v>
      </c>
    </row>
    <row r="2473" spans="2:2" x14ac:dyDescent="0.25">
      <c r="B2473" s="1">
        <v>44691</v>
      </c>
    </row>
    <row r="2474" spans="2:2" x14ac:dyDescent="0.25">
      <c r="B2474" s="1">
        <v>44692</v>
      </c>
    </row>
    <row r="2475" spans="2:2" x14ac:dyDescent="0.25">
      <c r="B2475" s="1">
        <v>44693</v>
      </c>
    </row>
    <row r="2476" spans="2:2" x14ac:dyDescent="0.25">
      <c r="B2476" s="1">
        <v>44694</v>
      </c>
    </row>
    <row r="2477" spans="2:2" x14ac:dyDescent="0.25">
      <c r="B2477" s="1">
        <v>44695</v>
      </c>
    </row>
    <row r="2478" spans="2:2" x14ac:dyDescent="0.25">
      <c r="B2478" s="1">
        <v>44696</v>
      </c>
    </row>
    <row r="2479" spans="2:2" x14ac:dyDescent="0.25">
      <c r="B2479" s="1">
        <v>44697</v>
      </c>
    </row>
    <row r="2480" spans="2:2" x14ac:dyDescent="0.25">
      <c r="B2480" s="1">
        <v>44698</v>
      </c>
    </row>
    <row r="2481" spans="2:2" x14ac:dyDescent="0.25">
      <c r="B2481" s="1">
        <v>44699</v>
      </c>
    </row>
    <row r="2482" spans="2:2" x14ac:dyDescent="0.25">
      <c r="B2482" s="1">
        <v>44700</v>
      </c>
    </row>
    <row r="2483" spans="2:2" x14ac:dyDescent="0.25">
      <c r="B2483" s="1">
        <v>44701</v>
      </c>
    </row>
    <row r="2484" spans="2:2" x14ac:dyDescent="0.25">
      <c r="B2484" s="1">
        <v>44702</v>
      </c>
    </row>
    <row r="2485" spans="2:2" x14ac:dyDescent="0.25">
      <c r="B2485" s="1">
        <v>44703</v>
      </c>
    </row>
    <row r="2486" spans="2:2" x14ac:dyDescent="0.25">
      <c r="B2486" s="1">
        <v>44704</v>
      </c>
    </row>
    <row r="2487" spans="2:2" x14ac:dyDescent="0.25">
      <c r="B2487" s="1">
        <v>44705</v>
      </c>
    </row>
    <row r="2488" spans="2:2" x14ac:dyDescent="0.25">
      <c r="B2488" s="1">
        <v>44706</v>
      </c>
    </row>
    <row r="2489" spans="2:2" x14ac:dyDescent="0.25">
      <c r="B2489" s="1">
        <v>44707</v>
      </c>
    </row>
    <row r="2490" spans="2:2" x14ac:dyDescent="0.25">
      <c r="B2490" s="1">
        <v>44708</v>
      </c>
    </row>
    <row r="2491" spans="2:2" x14ac:dyDescent="0.25">
      <c r="B2491" s="1">
        <v>44709</v>
      </c>
    </row>
    <row r="2492" spans="2:2" x14ac:dyDescent="0.25">
      <c r="B2492" s="1">
        <v>44710</v>
      </c>
    </row>
    <row r="2493" spans="2:2" x14ac:dyDescent="0.25">
      <c r="B2493" s="1">
        <v>44711</v>
      </c>
    </row>
    <row r="2494" spans="2:2" x14ac:dyDescent="0.25">
      <c r="B2494" s="1">
        <v>44712</v>
      </c>
    </row>
    <row r="2495" spans="2:2" x14ac:dyDescent="0.25">
      <c r="B2495" s="1">
        <v>44713</v>
      </c>
    </row>
    <row r="2496" spans="2:2" x14ac:dyDescent="0.25">
      <c r="B2496" s="1">
        <v>44714</v>
      </c>
    </row>
    <row r="2497" spans="2:2" x14ac:dyDescent="0.25">
      <c r="B2497" s="1">
        <v>44715</v>
      </c>
    </row>
    <row r="2498" spans="2:2" x14ac:dyDescent="0.25">
      <c r="B2498" s="1">
        <v>44716</v>
      </c>
    </row>
    <row r="2499" spans="2:2" x14ac:dyDescent="0.25">
      <c r="B2499" s="1">
        <v>44717</v>
      </c>
    </row>
    <row r="2500" spans="2:2" x14ac:dyDescent="0.25">
      <c r="B2500" s="1">
        <v>44718</v>
      </c>
    </row>
    <row r="2501" spans="2:2" x14ac:dyDescent="0.25">
      <c r="B2501" s="1">
        <v>44719</v>
      </c>
    </row>
    <row r="2502" spans="2:2" x14ac:dyDescent="0.25">
      <c r="B2502" s="1">
        <v>44720</v>
      </c>
    </row>
    <row r="2503" spans="2:2" x14ac:dyDescent="0.25">
      <c r="B2503" s="1">
        <v>44721</v>
      </c>
    </row>
    <row r="2504" spans="2:2" x14ac:dyDescent="0.25">
      <c r="B2504" s="1">
        <v>44722</v>
      </c>
    </row>
    <row r="2505" spans="2:2" x14ac:dyDescent="0.25">
      <c r="B2505" s="1">
        <v>44723</v>
      </c>
    </row>
    <row r="2506" spans="2:2" x14ac:dyDescent="0.25">
      <c r="B2506" s="1">
        <v>44724</v>
      </c>
    </row>
    <row r="2507" spans="2:2" x14ac:dyDescent="0.25">
      <c r="B2507" s="1">
        <v>44725</v>
      </c>
    </row>
    <row r="2508" spans="2:2" x14ac:dyDescent="0.25">
      <c r="B2508" s="1">
        <v>44726</v>
      </c>
    </row>
    <row r="2509" spans="2:2" x14ac:dyDescent="0.25">
      <c r="B2509" s="1">
        <v>44727</v>
      </c>
    </row>
    <row r="2510" spans="2:2" x14ac:dyDescent="0.25">
      <c r="B2510" s="1">
        <v>44728</v>
      </c>
    </row>
    <row r="2511" spans="2:2" x14ac:dyDescent="0.25">
      <c r="B2511" s="1">
        <v>44729</v>
      </c>
    </row>
    <row r="2512" spans="2:2" x14ac:dyDescent="0.25">
      <c r="B2512" s="1">
        <v>44730</v>
      </c>
    </row>
    <row r="2513" spans="2:2" x14ac:dyDescent="0.25">
      <c r="B2513" s="1">
        <v>44731</v>
      </c>
    </row>
    <row r="2514" spans="2:2" x14ac:dyDescent="0.25">
      <c r="B2514" s="1">
        <v>44732</v>
      </c>
    </row>
    <row r="2515" spans="2:2" x14ac:dyDescent="0.25">
      <c r="B2515" s="1">
        <v>44733</v>
      </c>
    </row>
    <row r="2516" spans="2:2" x14ac:dyDescent="0.25">
      <c r="B2516" s="1">
        <v>44734</v>
      </c>
    </row>
    <row r="2517" spans="2:2" x14ac:dyDescent="0.25">
      <c r="B2517" s="1">
        <v>44735</v>
      </c>
    </row>
    <row r="2518" spans="2:2" x14ac:dyDescent="0.25">
      <c r="B2518" s="1">
        <v>44736</v>
      </c>
    </row>
    <row r="2519" spans="2:2" x14ac:dyDescent="0.25">
      <c r="B2519" s="1">
        <v>44737</v>
      </c>
    </row>
    <row r="2520" spans="2:2" x14ac:dyDescent="0.25">
      <c r="B2520" s="1">
        <v>44738</v>
      </c>
    </row>
    <row r="2521" spans="2:2" x14ac:dyDescent="0.25">
      <c r="B2521" s="1">
        <v>44739</v>
      </c>
    </row>
    <row r="2522" spans="2:2" x14ac:dyDescent="0.25">
      <c r="B2522" s="1">
        <v>44740</v>
      </c>
    </row>
    <row r="2523" spans="2:2" x14ac:dyDescent="0.25">
      <c r="B2523" s="1">
        <v>44741</v>
      </c>
    </row>
    <row r="2524" spans="2:2" x14ac:dyDescent="0.25">
      <c r="B2524" s="1">
        <v>44742</v>
      </c>
    </row>
    <row r="2525" spans="2:2" x14ac:dyDescent="0.25">
      <c r="B2525" s="1">
        <v>44743</v>
      </c>
    </row>
    <row r="2526" spans="2:2" x14ac:dyDescent="0.25">
      <c r="B2526" s="1">
        <v>44744</v>
      </c>
    </row>
    <row r="2527" spans="2:2" x14ac:dyDescent="0.25">
      <c r="B2527" s="1">
        <v>44745</v>
      </c>
    </row>
    <row r="2528" spans="2:2" x14ac:dyDescent="0.25">
      <c r="B2528" s="1">
        <v>44746</v>
      </c>
    </row>
    <row r="2529" spans="2:2" x14ac:dyDescent="0.25">
      <c r="B2529" s="1">
        <v>44747</v>
      </c>
    </row>
    <row r="2530" spans="2:2" x14ac:dyDescent="0.25">
      <c r="B2530" s="1">
        <v>44748</v>
      </c>
    </row>
    <row r="2531" spans="2:2" x14ac:dyDescent="0.25">
      <c r="B2531" s="1">
        <v>44749</v>
      </c>
    </row>
    <row r="2532" spans="2:2" x14ac:dyDescent="0.25">
      <c r="B2532" s="1">
        <v>44750</v>
      </c>
    </row>
    <row r="2533" spans="2:2" x14ac:dyDescent="0.25">
      <c r="B2533" s="1">
        <v>44751</v>
      </c>
    </row>
    <row r="2534" spans="2:2" x14ac:dyDescent="0.25">
      <c r="B2534" s="1">
        <v>44752</v>
      </c>
    </row>
    <row r="2535" spans="2:2" x14ac:dyDescent="0.25">
      <c r="B2535" s="1">
        <v>44753</v>
      </c>
    </row>
    <row r="2536" spans="2:2" x14ac:dyDescent="0.25">
      <c r="B2536" s="1">
        <v>44754</v>
      </c>
    </row>
    <row r="2537" spans="2:2" x14ac:dyDescent="0.25">
      <c r="B2537" s="1">
        <v>44755</v>
      </c>
    </row>
    <row r="2538" spans="2:2" x14ac:dyDescent="0.25">
      <c r="B2538" s="1">
        <v>44756</v>
      </c>
    </row>
    <row r="2539" spans="2:2" x14ac:dyDescent="0.25">
      <c r="B2539" s="1">
        <v>44757</v>
      </c>
    </row>
    <row r="2540" spans="2:2" x14ac:dyDescent="0.25">
      <c r="B2540" s="1">
        <v>44758</v>
      </c>
    </row>
    <row r="2541" spans="2:2" x14ac:dyDescent="0.25">
      <c r="B2541" s="1">
        <v>44759</v>
      </c>
    </row>
    <row r="2542" spans="2:2" x14ac:dyDescent="0.25">
      <c r="B2542" s="1">
        <v>44760</v>
      </c>
    </row>
    <row r="2543" spans="2:2" x14ac:dyDescent="0.25">
      <c r="B2543" s="1">
        <v>44761</v>
      </c>
    </row>
    <row r="2544" spans="2:2" x14ac:dyDescent="0.25">
      <c r="B2544" s="1">
        <v>44762</v>
      </c>
    </row>
    <row r="2545" spans="2:2" x14ac:dyDescent="0.25">
      <c r="B2545" s="1">
        <v>44763</v>
      </c>
    </row>
    <row r="2546" spans="2:2" x14ac:dyDescent="0.25">
      <c r="B2546" s="1">
        <v>44764</v>
      </c>
    </row>
    <row r="2547" spans="2:2" x14ac:dyDescent="0.25">
      <c r="B2547" s="1">
        <v>44765</v>
      </c>
    </row>
    <row r="2548" spans="2:2" x14ac:dyDescent="0.25">
      <c r="B2548" s="1">
        <v>44766</v>
      </c>
    </row>
    <row r="2549" spans="2:2" x14ac:dyDescent="0.25">
      <c r="B2549" s="1">
        <v>44767</v>
      </c>
    </row>
    <row r="2550" spans="2:2" x14ac:dyDescent="0.25">
      <c r="B2550" s="1">
        <v>44768</v>
      </c>
    </row>
    <row r="2551" spans="2:2" x14ac:dyDescent="0.25">
      <c r="B2551" s="1">
        <v>44769</v>
      </c>
    </row>
    <row r="2552" spans="2:2" x14ac:dyDescent="0.25">
      <c r="B2552" s="1">
        <v>44770</v>
      </c>
    </row>
    <row r="2553" spans="2:2" x14ac:dyDescent="0.25">
      <c r="B2553" s="1">
        <v>44771</v>
      </c>
    </row>
    <row r="2554" spans="2:2" x14ac:dyDescent="0.25">
      <c r="B2554" s="1">
        <v>44772</v>
      </c>
    </row>
    <row r="2555" spans="2:2" x14ac:dyDescent="0.25">
      <c r="B2555" s="1">
        <v>44773</v>
      </c>
    </row>
    <row r="2556" spans="2:2" x14ac:dyDescent="0.25">
      <c r="B2556" s="1">
        <v>44774</v>
      </c>
    </row>
    <row r="2557" spans="2:2" x14ac:dyDescent="0.25">
      <c r="B2557" s="1">
        <v>44775</v>
      </c>
    </row>
    <row r="2558" spans="2:2" x14ac:dyDescent="0.25">
      <c r="B2558" s="1">
        <v>44776</v>
      </c>
    </row>
    <row r="2559" spans="2:2" x14ac:dyDescent="0.25">
      <c r="B2559" s="1">
        <v>44777</v>
      </c>
    </row>
    <row r="2560" spans="2:2" x14ac:dyDescent="0.25">
      <c r="B2560" s="1">
        <v>44778</v>
      </c>
    </row>
    <row r="2561" spans="2:2" x14ac:dyDescent="0.25">
      <c r="B2561" s="1">
        <v>44779</v>
      </c>
    </row>
    <row r="2562" spans="2:2" x14ac:dyDescent="0.25">
      <c r="B2562" s="1">
        <v>44780</v>
      </c>
    </row>
    <row r="2563" spans="2:2" x14ac:dyDescent="0.25">
      <c r="B2563" s="1">
        <v>44781</v>
      </c>
    </row>
    <row r="2564" spans="2:2" x14ac:dyDescent="0.25">
      <c r="B2564" s="1">
        <v>44782</v>
      </c>
    </row>
    <row r="2565" spans="2:2" x14ac:dyDescent="0.25">
      <c r="B2565" s="1">
        <v>44783</v>
      </c>
    </row>
    <row r="2566" spans="2:2" x14ac:dyDescent="0.25">
      <c r="B2566" s="1">
        <v>44784</v>
      </c>
    </row>
    <row r="2567" spans="2:2" x14ac:dyDescent="0.25">
      <c r="B2567" s="1">
        <v>44785</v>
      </c>
    </row>
    <row r="2568" spans="2:2" x14ac:dyDescent="0.25">
      <c r="B2568" s="1">
        <v>44786</v>
      </c>
    </row>
    <row r="2569" spans="2:2" x14ac:dyDescent="0.25">
      <c r="B2569" s="1">
        <v>44787</v>
      </c>
    </row>
    <row r="2570" spans="2:2" x14ac:dyDescent="0.25">
      <c r="B2570" s="1">
        <v>44788</v>
      </c>
    </row>
    <row r="2571" spans="2:2" x14ac:dyDescent="0.25">
      <c r="B2571" s="1">
        <v>44789</v>
      </c>
    </row>
    <row r="2572" spans="2:2" x14ac:dyDescent="0.25">
      <c r="B2572" s="1">
        <v>44790</v>
      </c>
    </row>
    <row r="2573" spans="2:2" x14ac:dyDescent="0.25">
      <c r="B2573" s="1">
        <v>44791</v>
      </c>
    </row>
    <row r="2574" spans="2:2" x14ac:dyDescent="0.25">
      <c r="B2574" s="1">
        <v>44792</v>
      </c>
    </row>
    <row r="2575" spans="2:2" x14ac:dyDescent="0.25">
      <c r="B2575" s="1">
        <v>44793</v>
      </c>
    </row>
    <row r="2576" spans="2:2" x14ac:dyDescent="0.25">
      <c r="B2576" s="1">
        <v>44794</v>
      </c>
    </row>
    <row r="2577" spans="2:2" x14ac:dyDescent="0.25">
      <c r="B2577" s="1">
        <v>44795</v>
      </c>
    </row>
    <row r="2578" spans="2:2" x14ac:dyDescent="0.25">
      <c r="B2578" s="1">
        <v>44796</v>
      </c>
    </row>
    <row r="2579" spans="2:2" x14ac:dyDescent="0.25">
      <c r="B2579" s="1">
        <v>44797</v>
      </c>
    </row>
    <row r="2580" spans="2:2" x14ac:dyDescent="0.25">
      <c r="B2580" s="1">
        <v>44798</v>
      </c>
    </row>
    <row r="2581" spans="2:2" x14ac:dyDescent="0.25">
      <c r="B2581" s="1">
        <v>44799</v>
      </c>
    </row>
    <row r="2582" spans="2:2" x14ac:dyDescent="0.25">
      <c r="B2582" s="1">
        <v>44800</v>
      </c>
    </row>
    <row r="2583" spans="2:2" x14ac:dyDescent="0.25">
      <c r="B2583" s="1">
        <v>44801</v>
      </c>
    </row>
    <row r="2584" spans="2:2" x14ac:dyDescent="0.25">
      <c r="B2584" s="1">
        <v>44802</v>
      </c>
    </row>
    <row r="2585" spans="2:2" x14ac:dyDescent="0.25">
      <c r="B2585" s="1">
        <v>44803</v>
      </c>
    </row>
    <row r="2586" spans="2:2" x14ac:dyDescent="0.25">
      <c r="B2586" s="1">
        <v>44804</v>
      </c>
    </row>
    <row r="2587" spans="2:2" x14ac:dyDescent="0.25">
      <c r="B2587" s="1">
        <v>44805</v>
      </c>
    </row>
    <row r="2588" spans="2:2" x14ac:dyDescent="0.25">
      <c r="B2588" s="1">
        <v>44806</v>
      </c>
    </row>
    <row r="2589" spans="2:2" x14ac:dyDescent="0.25">
      <c r="B2589" s="1">
        <v>44807</v>
      </c>
    </row>
    <row r="2590" spans="2:2" x14ac:dyDescent="0.25">
      <c r="B2590" s="1">
        <v>44808</v>
      </c>
    </row>
    <row r="2591" spans="2:2" x14ac:dyDescent="0.25">
      <c r="B2591" s="1">
        <v>44809</v>
      </c>
    </row>
    <row r="2592" spans="2:2" x14ac:dyDescent="0.25">
      <c r="B2592" s="1">
        <v>44810</v>
      </c>
    </row>
    <row r="2593" spans="2:2" x14ac:dyDescent="0.25">
      <c r="B2593" s="1">
        <v>44811</v>
      </c>
    </row>
    <row r="2594" spans="2:2" x14ac:dyDescent="0.25">
      <c r="B2594" s="1">
        <v>44812</v>
      </c>
    </row>
    <row r="2595" spans="2:2" x14ac:dyDescent="0.25">
      <c r="B2595" s="1">
        <v>44813</v>
      </c>
    </row>
    <row r="2596" spans="2:2" x14ac:dyDescent="0.25">
      <c r="B2596" s="1">
        <v>44814</v>
      </c>
    </row>
    <row r="2597" spans="2:2" x14ac:dyDescent="0.25">
      <c r="B2597" s="1">
        <v>44815</v>
      </c>
    </row>
    <row r="2598" spans="2:2" x14ac:dyDescent="0.25">
      <c r="B2598" s="1">
        <v>44816</v>
      </c>
    </row>
    <row r="2599" spans="2:2" x14ac:dyDescent="0.25">
      <c r="B2599" s="1">
        <v>44817</v>
      </c>
    </row>
    <row r="2600" spans="2:2" x14ac:dyDescent="0.25">
      <c r="B2600" s="1">
        <v>44818</v>
      </c>
    </row>
    <row r="2601" spans="2:2" x14ac:dyDescent="0.25">
      <c r="B2601" s="1">
        <v>44819</v>
      </c>
    </row>
    <row r="2602" spans="2:2" x14ac:dyDescent="0.25">
      <c r="B2602" s="1">
        <v>44820</v>
      </c>
    </row>
    <row r="2603" spans="2:2" x14ac:dyDescent="0.25">
      <c r="B2603" s="1">
        <v>44821</v>
      </c>
    </row>
    <row r="2604" spans="2:2" x14ac:dyDescent="0.25">
      <c r="B2604" s="1">
        <v>44822</v>
      </c>
    </row>
    <row r="2605" spans="2:2" x14ac:dyDescent="0.25">
      <c r="B2605" s="1">
        <v>44823</v>
      </c>
    </row>
    <row r="2606" spans="2:2" x14ac:dyDescent="0.25">
      <c r="B2606" s="1">
        <v>44824</v>
      </c>
    </row>
    <row r="2607" spans="2:2" x14ac:dyDescent="0.25">
      <c r="B2607" s="1">
        <v>44825</v>
      </c>
    </row>
    <row r="2608" spans="2:2" x14ac:dyDescent="0.25">
      <c r="B2608" s="1">
        <v>44826</v>
      </c>
    </row>
    <row r="2609" spans="2:2" x14ac:dyDescent="0.25">
      <c r="B2609" s="1">
        <v>44827</v>
      </c>
    </row>
    <row r="2610" spans="2:2" x14ac:dyDescent="0.25">
      <c r="B2610" s="1">
        <v>44828</v>
      </c>
    </row>
    <row r="2611" spans="2:2" x14ac:dyDescent="0.25">
      <c r="B2611" s="1">
        <v>44829</v>
      </c>
    </row>
    <row r="2612" spans="2:2" x14ac:dyDescent="0.25">
      <c r="B2612" s="1">
        <v>44830</v>
      </c>
    </row>
    <row r="2613" spans="2:2" x14ac:dyDescent="0.25">
      <c r="B2613" s="1">
        <v>44831</v>
      </c>
    </row>
    <row r="2614" spans="2:2" x14ac:dyDescent="0.25">
      <c r="B2614" s="1">
        <v>44832</v>
      </c>
    </row>
    <row r="2615" spans="2:2" x14ac:dyDescent="0.25">
      <c r="B2615" s="1">
        <v>44833</v>
      </c>
    </row>
    <row r="2616" spans="2:2" x14ac:dyDescent="0.25">
      <c r="B2616" s="1">
        <v>44834</v>
      </c>
    </row>
    <row r="2617" spans="2:2" x14ac:dyDescent="0.25">
      <c r="B2617" s="1">
        <v>44835</v>
      </c>
    </row>
    <row r="2618" spans="2:2" x14ac:dyDescent="0.25">
      <c r="B2618" s="1">
        <v>44836</v>
      </c>
    </row>
    <row r="2619" spans="2:2" x14ac:dyDescent="0.25">
      <c r="B2619" s="1">
        <v>44837</v>
      </c>
    </row>
    <row r="2620" spans="2:2" x14ac:dyDescent="0.25">
      <c r="B2620" s="1">
        <v>44838</v>
      </c>
    </row>
    <row r="2621" spans="2:2" x14ac:dyDescent="0.25">
      <c r="B2621" s="1">
        <v>44839</v>
      </c>
    </row>
    <row r="2622" spans="2:2" x14ac:dyDescent="0.25">
      <c r="B2622" s="1">
        <v>44840</v>
      </c>
    </row>
    <row r="2623" spans="2:2" x14ac:dyDescent="0.25">
      <c r="B2623" s="1">
        <v>44841</v>
      </c>
    </row>
    <row r="2624" spans="2:2" x14ac:dyDescent="0.25">
      <c r="B2624" s="1">
        <v>44842</v>
      </c>
    </row>
    <row r="2625" spans="2:2" x14ac:dyDescent="0.25">
      <c r="B2625" s="1">
        <v>44843</v>
      </c>
    </row>
    <row r="2626" spans="2:2" x14ac:dyDescent="0.25">
      <c r="B2626" s="1">
        <v>44844</v>
      </c>
    </row>
    <row r="2627" spans="2:2" x14ac:dyDescent="0.25">
      <c r="B2627" s="1">
        <v>44845</v>
      </c>
    </row>
    <row r="2628" spans="2:2" x14ac:dyDescent="0.25">
      <c r="B2628" s="1">
        <v>44846</v>
      </c>
    </row>
    <row r="2629" spans="2:2" x14ac:dyDescent="0.25">
      <c r="B2629" s="1">
        <v>44847</v>
      </c>
    </row>
    <row r="2630" spans="2:2" x14ac:dyDescent="0.25">
      <c r="B2630" s="1">
        <v>44848</v>
      </c>
    </row>
    <row r="2631" spans="2:2" x14ac:dyDescent="0.25">
      <c r="B2631" s="1">
        <v>44849</v>
      </c>
    </row>
    <row r="2632" spans="2:2" x14ac:dyDescent="0.25">
      <c r="B2632" s="1">
        <v>44850</v>
      </c>
    </row>
    <row r="2633" spans="2:2" x14ac:dyDescent="0.25">
      <c r="B2633" s="1">
        <v>44851</v>
      </c>
    </row>
    <row r="2634" spans="2:2" x14ac:dyDescent="0.25">
      <c r="B2634" s="1">
        <v>44852</v>
      </c>
    </row>
    <row r="2635" spans="2:2" x14ac:dyDescent="0.25">
      <c r="B2635" s="1">
        <v>44853</v>
      </c>
    </row>
    <row r="2636" spans="2:2" x14ac:dyDescent="0.25">
      <c r="B2636" s="1">
        <v>44854</v>
      </c>
    </row>
    <row r="2637" spans="2:2" x14ac:dyDescent="0.25">
      <c r="B2637" s="1">
        <v>44855</v>
      </c>
    </row>
    <row r="2638" spans="2:2" x14ac:dyDescent="0.25">
      <c r="B2638" s="1">
        <v>44856</v>
      </c>
    </row>
    <row r="2639" spans="2:2" x14ac:dyDescent="0.25">
      <c r="B2639" s="1">
        <v>44857</v>
      </c>
    </row>
    <row r="2640" spans="2:2" x14ac:dyDescent="0.25">
      <c r="B2640" s="1">
        <v>44858</v>
      </c>
    </row>
    <row r="2641" spans="2:2" x14ac:dyDescent="0.25">
      <c r="B2641" s="1">
        <v>44859</v>
      </c>
    </row>
    <row r="2642" spans="2:2" x14ac:dyDescent="0.25">
      <c r="B2642" s="1">
        <v>44860</v>
      </c>
    </row>
    <row r="2643" spans="2:2" x14ac:dyDescent="0.25">
      <c r="B2643" s="1">
        <v>44861</v>
      </c>
    </row>
    <row r="2644" spans="2:2" x14ac:dyDescent="0.25">
      <c r="B2644" s="1">
        <v>44862</v>
      </c>
    </row>
    <row r="2645" spans="2:2" x14ac:dyDescent="0.25">
      <c r="B2645" s="1">
        <v>44863</v>
      </c>
    </row>
    <row r="2646" spans="2:2" x14ac:dyDescent="0.25">
      <c r="B2646" s="1">
        <v>44864</v>
      </c>
    </row>
    <row r="2647" spans="2:2" x14ac:dyDescent="0.25">
      <c r="B2647" s="1">
        <v>44865</v>
      </c>
    </row>
    <row r="2648" spans="2:2" x14ac:dyDescent="0.25">
      <c r="B2648" s="1">
        <v>44866</v>
      </c>
    </row>
    <row r="2649" spans="2:2" x14ac:dyDescent="0.25">
      <c r="B2649" s="1">
        <v>44867</v>
      </c>
    </row>
    <row r="2650" spans="2:2" x14ac:dyDescent="0.25">
      <c r="B2650" s="1">
        <v>44868</v>
      </c>
    </row>
    <row r="2651" spans="2:2" x14ac:dyDescent="0.25">
      <c r="B2651" s="1">
        <v>44869</v>
      </c>
    </row>
    <row r="2652" spans="2:2" x14ac:dyDescent="0.25">
      <c r="B2652" s="1">
        <v>44870</v>
      </c>
    </row>
    <row r="2653" spans="2:2" x14ac:dyDescent="0.25">
      <c r="B2653" s="1">
        <v>44871</v>
      </c>
    </row>
    <row r="2654" spans="2:2" x14ac:dyDescent="0.25">
      <c r="B2654" s="1">
        <v>44872</v>
      </c>
    </row>
    <row r="2655" spans="2:2" x14ac:dyDescent="0.25">
      <c r="B2655" s="1">
        <v>44873</v>
      </c>
    </row>
    <row r="2656" spans="2:2" x14ac:dyDescent="0.25">
      <c r="B2656" s="1">
        <v>44874</v>
      </c>
    </row>
    <row r="2657" spans="2:2" x14ac:dyDescent="0.25">
      <c r="B2657" s="1">
        <v>44875</v>
      </c>
    </row>
    <row r="2658" spans="2:2" x14ac:dyDescent="0.25">
      <c r="B2658" s="1">
        <v>44876</v>
      </c>
    </row>
    <row r="2659" spans="2:2" x14ac:dyDescent="0.25">
      <c r="B2659" s="1">
        <v>44877</v>
      </c>
    </row>
    <row r="2660" spans="2:2" x14ac:dyDescent="0.25">
      <c r="B2660" s="1">
        <v>44878</v>
      </c>
    </row>
    <row r="2661" spans="2:2" x14ac:dyDescent="0.25">
      <c r="B2661" s="1">
        <v>44879</v>
      </c>
    </row>
    <row r="2662" spans="2:2" x14ac:dyDescent="0.25">
      <c r="B2662" s="1">
        <v>44880</v>
      </c>
    </row>
    <row r="2663" spans="2:2" x14ac:dyDescent="0.25">
      <c r="B2663" s="1">
        <v>44881</v>
      </c>
    </row>
    <row r="2664" spans="2:2" x14ac:dyDescent="0.25">
      <c r="B2664" s="1">
        <v>44882</v>
      </c>
    </row>
    <row r="2665" spans="2:2" x14ac:dyDescent="0.25">
      <c r="B2665" s="1">
        <v>44883</v>
      </c>
    </row>
    <row r="2666" spans="2:2" x14ac:dyDescent="0.25">
      <c r="B2666" s="1">
        <v>44884</v>
      </c>
    </row>
    <row r="2667" spans="2:2" x14ac:dyDescent="0.25">
      <c r="B2667" s="1">
        <v>44885</v>
      </c>
    </row>
    <row r="2668" spans="2:2" x14ac:dyDescent="0.25">
      <c r="B2668" s="1">
        <v>44886</v>
      </c>
    </row>
    <row r="2669" spans="2:2" x14ac:dyDescent="0.25">
      <c r="B2669" s="1">
        <v>44887</v>
      </c>
    </row>
    <row r="2670" spans="2:2" x14ac:dyDescent="0.25">
      <c r="B2670" s="1">
        <v>44888</v>
      </c>
    </row>
    <row r="2671" spans="2:2" x14ac:dyDescent="0.25">
      <c r="B2671" s="1">
        <v>44889</v>
      </c>
    </row>
    <row r="2672" spans="2:2" x14ac:dyDescent="0.25">
      <c r="B2672" s="1">
        <v>44890</v>
      </c>
    </row>
    <row r="2673" spans="2:2" x14ac:dyDescent="0.25">
      <c r="B2673" s="1">
        <v>44891</v>
      </c>
    </row>
    <row r="2674" spans="2:2" x14ac:dyDescent="0.25">
      <c r="B2674" s="1">
        <v>44892</v>
      </c>
    </row>
    <row r="2675" spans="2:2" x14ac:dyDescent="0.25">
      <c r="B2675" s="1">
        <v>44893</v>
      </c>
    </row>
    <row r="2676" spans="2:2" x14ac:dyDescent="0.25">
      <c r="B2676" s="1">
        <v>44894</v>
      </c>
    </row>
    <row r="2677" spans="2:2" x14ac:dyDescent="0.25">
      <c r="B2677" s="1">
        <v>44895</v>
      </c>
    </row>
    <row r="2678" spans="2:2" x14ac:dyDescent="0.25">
      <c r="B2678" s="1">
        <v>44896</v>
      </c>
    </row>
    <row r="2679" spans="2:2" x14ac:dyDescent="0.25">
      <c r="B2679" s="1">
        <v>44897</v>
      </c>
    </row>
    <row r="2680" spans="2:2" x14ac:dyDescent="0.25">
      <c r="B2680" s="1">
        <v>44898</v>
      </c>
    </row>
    <row r="2681" spans="2:2" x14ac:dyDescent="0.25">
      <c r="B2681" s="1">
        <v>44899</v>
      </c>
    </row>
    <row r="2682" spans="2:2" x14ac:dyDescent="0.25">
      <c r="B2682" s="1">
        <v>44900</v>
      </c>
    </row>
    <row r="2683" spans="2:2" x14ac:dyDescent="0.25">
      <c r="B2683" s="1">
        <v>44901</v>
      </c>
    </row>
    <row r="2684" spans="2:2" x14ac:dyDescent="0.25">
      <c r="B2684" s="1">
        <v>44902</v>
      </c>
    </row>
    <row r="2685" spans="2:2" x14ac:dyDescent="0.25">
      <c r="B2685" s="1">
        <v>44903</v>
      </c>
    </row>
    <row r="2686" spans="2:2" x14ac:dyDescent="0.25">
      <c r="B2686" s="1">
        <v>44904</v>
      </c>
    </row>
    <row r="2687" spans="2:2" x14ac:dyDescent="0.25">
      <c r="B2687" s="1">
        <v>44905</v>
      </c>
    </row>
    <row r="2688" spans="2:2" x14ac:dyDescent="0.25">
      <c r="B2688" s="1">
        <v>44906</v>
      </c>
    </row>
    <row r="2689" spans="2:2" x14ac:dyDescent="0.25">
      <c r="B2689" s="1">
        <v>44907</v>
      </c>
    </row>
    <row r="2690" spans="2:2" x14ac:dyDescent="0.25">
      <c r="B2690" s="1">
        <v>44908</v>
      </c>
    </row>
    <row r="2691" spans="2:2" x14ac:dyDescent="0.25">
      <c r="B2691" s="1">
        <v>44909</v>
      </c>
    </row>
    <row r="2692" spans="2:2" x14ac:dyDescent="0.25">
      <c r="B2692" s="1">
        <v>44910</v>
      </c>
    </row>
    <row r="2693" spans="2:2" x14ac:dyDescent="0.25">
      <c r="B2693" s="1">
        <v>44911</v>
      </c>
    </row>
    <row r="2694" spans="2:2" x14ac:dyDescent="0.25">
      <c r="B2694" s="1">
        <v>44912</v>
      </c>
    </row>
    <row r="2695" spans="2:2" x14ac:dyDescent="0.25">
      <c r="B2695" s="1">
        <v>44913</v>
      </c>
    </row>
    <row r="2696" spans="2:2" x14ac:dyDescent="0.25">
      <c r="B2696" s="1">
        <v>44914</v>
      </c>
    </row>
    <row r="2697" spans="2:2" x14ac:dyDescent="0.25">
      <c r="B2697" s="1">
        <v>44915</v>
      </c>
    </row>
    <row r="2698" spans="2:2" x14ac:dyDescent="0.25">
      <c r="B2698" s="1">
        <v>44916</v>
      </c>
    </row>
    <row r="2699" spans="2:2" x14ac:dyDescent="0.25">
      <c r="B2699" s="1">
        <v>44917</v>
      </c>
    </row>
    <row r="2700" spans="2:2" x14ac:dyDescent="0.25">
      <c r="B2700" s="1">
        <v>44918</v>
      </c>
    </row>
    <row r="2701" spans="2:2" x14ac:dyDescent="0.25">
      <c r="B2701" s="1">
        <v>44919</v>
      </c>
    </row>
    <row r="2702" spans="2:2" x14ac:dyDescent="0.25">
      <c r="B2702" s="1">
        <v>44920</v>
      </c>
    </row>
    <row r="2703" spans="2:2" x14ac:dyDescent="0.25">
      <c r="B2703" s="1">
        <v>44921</v>
      </c>
    </row>
    <row r="2704" spans="2:2" x14ac:dyDescent="0.25">
      <c r="B2704" s="1">
        <v>44922</v>
      </c>
    </row>
    <row r="2705" spans="2:2" x14ac:dyDescent="0.25">
      <c r="B2705" s="1">
        <v>44923</v>
      </c>
    </row>
    <row r="2706" spans="2:2" x14ac:dyDescent="0.25">
      <c r="B2706" s="1">
        <v>44924</v>
      </c>
    </row>
    <row r="2707" spans="2:2" x14ac:dyDescent="0.25">
      <c r="B2707" s="1">
        <v>44925</v>
      </c>
    </row>
    <row r="2708" spans="2:2" x14ac:dyDescent="0.25">
      <c r="B2708" s="1">
        <v>44926</v>
      </c>
    </row>
    <row r="2709" spans="2:2" x14ac:dyDescent="0.25">
      <c r="B2709" s="1">
        <v>44927</v>
      </c>
    </row>
    <row r="2710" spans="2:2" x14ac:dyDescent="0.25">
      <c r="B2710" s="1">
        <v>44928</v>
      </c>
    </row>
    <row r="2711" spans="2:2" x14ac:dyDescent="0.25">
      <c r="B2711" s="1">
        <v>44929</v>
      </c>
    </row>
    <row r="2712" spans="2:2" x14ac:dyDescent="0.25">
      <c r="B2712" s="1">
        <v>44930</v>
      </c>
    </row>
    <row r="2713" spans="2:2" x14ac:dyDescent="0.25">
      <c r="B2713" s="1">
        <v>44931</v>
      </c>
    </row>
    <row r="2714" spans="2:2" x14ac:dyDescent="0.25">
      <c r="B2714" s="1">
        <v>44932</v>
      </c>
    </row>
    <row r="2715" spans="2:2" x14ac:dyDescent="0.25">
      <c r="B2715" s="1">
        <v>44933</v>
      </c>
    </row>
    <row r="2716" spans="2:2" x14ac:dyDescent="0.25">
      <c r="B2716" s="1">
        <v>44934</v>
      </c>
    </row>
    <row r="2717" spans="2:2" x14ac:dyDescent="0.25">
      <c r="B2717" s="1">
        <v>44935</v>
      </c>
    </row>
    <row r="2718" spans="2:2" x14ac:dyDescent="0.25">
      <c r="B2718" s="1">
        <v>44936</v>
      </c>
    </row>
    <row r="2719" spans="2:2" x14ac:dyDescent="0.25">
      <c r="B2719" s="1">
        <v>44937</v>
      </c>
    </row>
    <row r="2720" spans="2:2" x14ac:dyDescent="0.25">
      <c r="B2720" s="1">
        <v>44938</v>
      </c>
    </row>
    <row r="2721" spans="2:2" x14ac:dyDescent="0.25">
      <c r="B2721" s="1">
        <v>44939</v>
      </c>
    </row>
    <row r="2722" spans="2:2" x14ac:dyDescent="0.25">
      <c r="B2722" s="1">
        <v>44940</v>
      </c>
    </row>
    <row r="2723" spans="2:2" x14ac:dyDescent="0.25">
      <c r="B2723" s="1">
        <v>44941</v>
      </c>
    </row>
    <row r="2724" spans="2:2" x14ac:dyDescent="0.25">
      <c r="B2724" s="1">
        <v>44942</v>
      </c>
    </row>
    <row r="2725" spans="2:2" x14ac:dyDescent="0.25">
      <c r="B2725" s="1">
        <v>44943</v>
      </c>
    </row>
    <row r="2726" spans="2:2" x14ac:dyDescent="0.25">
      <c r="B2726" s="1">
        <v>44944</v>
      </c>
    </row>
    <row r="2727" spans="2:2" x14ac:dyDescent="0.25">
      <c r="B2727" s="1">
        <v>44945</v>
      </c>
    </row>
    <row r="2728" spans="2:2" x14ac:dyDescent="0.25">
      <c r="B2728" s="1">
        <v>44946</v>
      </c>
    </row>
    <row r="2729" spans="2:2" x14ac:dyDescent="0.25">
      <c r="B2729" s="1">
        <v>44947</v>
      </c>
    </row>
    <row r="2730" spans="2:2" x14ac:dyDescent="0.25">
      <c r="B2730" s="1">
        <v>44948</v>
      </c>
    </row>
    <row r="2731" spans="2:2" x14ac:dyDescent="0.25">
      <c r="B2731" s="1">
        <v>44949</v>
      </c>
    </row>
    <row r="2732" spans="2:2" x14ac:dyDescent="0.25">
      <c r="B2732" s="1">
        <v>44950</v>
      </c>
    </row>
    <row r="2733" spans="2:2" x14ac:dyDescent="0.25">
      <c r="B2733" s="1">
        <v>44951</v>
      </c>
    </row>
    <row r="2734" spans="2:2" x14ac:dyDescent="0.25">
      <c r="B2734" s="1">
        <v>44952</v>
      </c>
    </row>
    <row r="2735" spans="2:2" x14ac:dyDescent="0.25">
      <c r="B2735" s="1">
        <v>44953</v>
      </c>
    </row>
    <row r="2736" spans="2:2" x14ac:dyDescent="0.25">
      <c r="B2736" s="1">
        <v>44954</v>
      </c>
    </row>
    <row r="2737" spans="2:2" x14ac:dyDescent="0.25">
      <c r="B2737" s="1">
        <v>44955</v>
      </c>
    </row>
    <row r="2738" spans="2:2" x14ac:dyDescent="0.25">
      <c r="B2738" s="1">
        <v>44956</v>
      </c>
    </row>
    <row r="2739" spans="2:2" x14ac:dyDescent="0.25">
      <c r="B2739" s="1">
        <v>44957</v>
      </c>
    </row>
    <row r="2740" spans="2:2" x14ac:dyDescent="0.25">
      <c r="B2740" s="1">
        <v>44958</v>
      </c>
    </row>
    <row r="2741" spans="2:2" x14ac:dyDescent="0.25">
      <c r="B2741" s="1">
        <v>44959</v>
      </c>
    </row>
    <row r="2742" spans="2:2" x14ac:dyDescent="0.25">
      <c r="B2742" s="1">
        <v>44960</v>
      </c>
    </row>
    <row r="2743" spans="2:2" x14ac:dyDescent="0.25">
      <c r="B2743" s="1">
        <v>44961</v>
      </c>
    </row>
    <row r="2744" spans="2:2" x14ac:dyDescent="0.25">
      <c r="B2744" s="1">
        <v>44962</v>
      </c>
    </row>
    <row r="2745" spans="2:2" x14ac:dyDescent="0.25">
      <c r="B2745" s="1">
        <v>44963</v>
      </c>
    </row>
    <row r="2746" spans="2:2" x14ac:dyDescent="0.25">
      <c r="B2746" s="1">
        <v>44964</v>
      </c>
    </row>
    <row r="2747" spans="2:2" x14ac:dyDescent="0.25">
      <c r="B2747" s="1">
        <v>44965</v>
      </c>
    </row>
    <row r="2748" spans="2:2" x14ac:dyDescent="0.25">
      <c r="B2748" s="1">
        <v>44966</v>
      </c>
    </row>
    <row r="2749" spans="2:2" x14ac:dyDescent="0.25">
      <c r="B2749" s="1">
        <v>44967</v>
      </c>
    </row>
    <row r="2750" spans="2:2" x14ac:dyDescent="0.25">
      <c r="B2750" s="1">
        <v>44968</v>
      </c>
    </row>
    <row r="2751" spans="2:2" x14ac:dyDescent="0.25">
      <c r="B2751" s="1">
        <v>44969</v>
      </c>
    </row>
    <row r="2752" spans="2:2" x14ac:dyDescent="0.25">
      <c r="B2752" s="1">
        <v>44970</v>
      </c>
    </row>
    <row r="2753" spans="2:2" x14ac:dyDescent="0.25">
      <c r="B2753" s="1">
        <v>44971</v>
      </c>
    </row>
    <row r="2754" spans="2:2" x14ac:dyDescent="0.25">
      <c r="B2754" s="1">
        <v>44972</v>
      </c>
    </row>
    <row r="2755" spans="2:2" x14ac:dyDescent="0.25">
      <c r="B2755" s="1">
        <v>44973</v>
      </c>
    </row>
    <row r="2756" spans="2:2" x14ac:dyDescent="0.25">
      <c r="B2756" s="1">
        <v>44974</v>
      </c>
    </row>
    <row r="2757" spans="2:2" x14ac:dyDescent="0.25">
      <c r="B2757" s="1">
        <v>44975</v>
      </c>
    </row>
    <row r="2758" spans="2:2" x14ac:dyDescent="0.25">
      <c r="B2758" s="1">
        <v>44976</v>
      </c>
    </row>
    <row r="2759" spans="2:2" x14ac:dyDescent="0.25">
      <c r="B2759" s="1">
        <v>44977</v>
      </c>
    </row>
    <row r="2760" spans="2:2" x14ac:dyDescent="0.25">
      <c r="B2760" s="1">
        <v>44978</v>
      </c>
    </row>
    <row r="2761" spans="2:2" x14ac:dyDescent="0.25">
      <c r="B2761" s="1">
        <v>44979</v>
      </c>
    </row>
    <row r="2762" spans="2:2" x14ac:dyDescent="0.25">
      <c r="B2762" s="1">
        <v>44980</v>
      </c>
    </row>
    <row r="2763" spans="2:2" x14ac:dyDescent="0.25">
      <c r="B2763" s="1">
        <v>44981</v>
      </c>
    </row>
    <row r="2764" spans="2:2" x14ac:dyDescent="0.25">
      <c r="B2764" s="1">
        <v>44982</v>
      </c>
    </row>
    <row r="2765" spans="2:2" x14ac:dyDescent="0.25">
      <c r="B2765" s="1">
        <v>44983</v>
      </c>
    </row>
    <row r="2766" spans="2:2" x14ac:dyDescent="0.25">
      <c r="B2766" s="1">
        <v>44984</v>
      </c>
    </row>
    <row r="2767" spans="2:2" x14ac:dyDescent="0.25">
      <c r="B2767" s="1">
        <v>44985</v>
      </c>
    </row>
    <row r="2768" spans="2:2" x14ac:dyDescent="0.25">
      <c r="B2768" s="1">
        <v>44986</v>
      </c>
    </row>
    <row r="2769" spans="2:2" x14ac:dyDescent="0.25">
      <c r="B2769" s="1">
        <v>44987</v>
      </c>
    </row>
    <row r="2770" spans="2:2" x14ac:dyDescent="0.25">
      <c r="B2770" s="1">
        <v>44988</v>
      </c>
    </row>
    <row r="2771" spans="2:2" x14ac:dyDescent="0.25">
      <c r="B2771" s="1">
        <v>44989</v>
      </c>
    </row>
    <row r="2772" spans="2:2" x14ac:dyDescent="0.25">
      <c r="B2772" s="1">
        <v>44990</v>
      </c>
    </row>
    <row r="2773" spans="2:2" x14ac:dyDescent="0.25">
      <c r="B2773" s="1">
        <v>44991</v>
      </c>
    </row>
    <row r="2774" spans="2:2" x14ac:dyDescent="0.25">
      <c r="B2774" s="1">
        <v>44992</v>
      </c>
    </row>
    <row r="2775" spans="2:2" x14ac:dyDescent="0.25">
      <c r="B2775" s="1">
        <v>44993</v>
      </c>
    </row>
    <row r="2776" spans="2:2" x14ac:dyDescent="0.25">
      <c r="B2776" s="1">
        <v>44994</v>
      </c>
    </row>
    <row r="2777" spans="2:2" x14ac:dyDescent="0.25">
      <c r="B2777" s="1">
        <v>44995</v>
      </c>
    </row>
    <row r="2778" spans="2:2" x14ac:dyDescent="0.25">
      <c r="B2778" s="1">
        <v>44996</v>
      </c>
    </row>
    <row r="2779" spans="2:2" x14ac:dyDescent="0.25">
      <c r="B2779" s="1">
        <v>44997</v>
      </c>
    </row>
    <row r="2780" spans="2:2" x14ac:dyDescent="0.25">
      <c r="B2780" s="1">
        <v>44998</v>
      </c>
    </row>
    <row r="2781" spans="2:2" x14ac:dyDescent="0.25">
      <c r="B2781" s="1">
        <v>44999</v>
      </c>
    </row>
    <row r="2782" spans="2:2" x14ac:dyDescent="0.25">
      <c r="B2782" s="1">
        <v>45000</v>
      </c>
    </row>
    <row r="2783" spans="2:2" x14ac:dyDescent="0.25">
      <c r="B2783" s="1">
        <v>45001</v>
      </c>
    </row>
    <row r="2784" spans="2:2" x14ac:dyDescent="0.25">
      <c r="B2784" s="1">
        <v>45002</v>
      </c>
    </row>
    <row r="2785" spans="2:2" x14ac:dyDescent="0.25">
      <c r="B2785" s="1">
        <v>45003</v>
      </c>
    </row>
    <row r="2786" spans="2:2" x14ac:dyDescent="0.25">
      <c r="B2786" s="1">
        <v>45004</v>
      </c>
    </row>
    <row r="2787" spans="2:2" x14ac:dyDescent="0.25">
      <c r="B2787" s="1">
        <v>45005</v>
      </c>
    </row>
    <row r="2788" spans="2:2" x14ac:dyDescent="0.25">
      <c r="B2788" s="1">
        <v>45006</v>
      </c>
    </row>
    <row r="2789" spans="2:2" x14ac:dyDescent="0.25">
      <c r="B2789" s="1">
        <v>45007</v>
      </c>
    </row>
    <row r="2790" spans="2:2" x14ac:dyDescent="0.25">
      <c r="B2790" s="1">
        <v>45008</v>
      </c>
    </row>
    <row r="2791" spans="2:2" x14ac:dyDescent="0.25">
      <c r="B2791" s="1">
        <v>45009</v>
      </c>
    </row>
    <row r="2792" spans="2:2" x14ac:dyDescent="0.25">
      <c r="B2792" s="1">
        <v>45010</v>
      </c>
    </row>
    <row r="2793" spans="2:2" x14ac:dyDescent="0.25">
      <c r="B2793" s="1">
        <v>45011</v>
      </c>
    </row>
    <row r="2794" spans="2:2" x14ac:dyDescent="0.25">
      <c r="B2794" s="1">
        <v>45012</v>
      </c>
    </row>
    <row r="2795" spans="2:2" x14ac:dyDescent="0.25">
      <c r="B2795" s="1">
        <v>45013</v>
      </c>
    </row>
    <row r="2796" spans="2:2" x14ac:dyDescent="0.25">
      <c r="B2796" s="1">
        <v>45014</v>
      </c>
    </row>
    <row r="2797" spans="2:2" x14ac:dyDescent="0.25">
      <c r="B2797" s="1">
        <v>45015</v>
      </c>
    </row>
    <row r="2798" spans="2:2" x14ac:dyDescent="0.25">
      <c r="B2798" s="1">
        <v>45016</v>
      </c>
    </row>
    <row r="2799" spans="2:2" x14ac:dyDescent="0.25">
      <c r="B2799" s="1">
        <v>45017</v>
      </c>
    </row>
    <row r="2800" spans="2:2" x14ac:dyDescent="0.25">
      <c r="B2800" s="1">
        <v>45018</v>
      </c>
    </row>
    <row r="2801" spans="2:2" x14ac:dyDescent="0.25">
      <c r="B2801" s="1">
        <v>45019</v>
      </c>
    </row>
    <row r="2802" spans="2:2" x14ac:dyDescent="0.25">
      <c r="B2802" s="1">
        <v>45020</v>
      </c>
    </row>
    <row r="2803" spans="2:2" x14ac:dyDescent="0.25">
      <c r="B2803" s="1">
        <v>45021</v>
      </c>
    </row>
    <row r="2804" spans="2:2" x14ac:dyDescent="0.25">
      <c r="B2804" s="1">
        <v>45022</v>
      </c>
    </row>
    <row r="2805" spans="2:2" x14ac:dyDescent="0.25">
      <c r="B2805" s="1">
        <v>45023</v>
      </c>
    </row>
    <row r="2806" spans="2:2" x14ac:dyDescent="0.25">
      <c r="B2806" s="1">
        <v>45024</v>
      </c>
    </row>
    <row r="2807" spans="2:2" x14ac:dyDescent="0.25">
      <c r="B2807" s="1">
        <v>45025</v>
      </c>
    </row>
    <row r="2808" spans="2:2" x14ac:dyDescent="0.25">
      <c r="B2808" s="1">
        <v>45026</v>
      </c>
    </row>
    <row r="2809" spans="2:2" x14ac:dyDescent="0.25">
      <c r="B2809" s="1">
        <v>45027</v>
      </c>
    </row>
    <row r="2810" spans="2:2" x14ac:dyDescent="0.25">
      <c r="B2810" s="1">
        <v>45028</v>
      </c>
    </row>
    <row r="2811" spans="2:2" x14ac:dyDescent="0.25">
      <c r="B2811" s="1">
        <v>45029</v>
      </c>
    </row>
    <row r="2812" spans="2:2" x14ac:dyDescent="0.25">
      <c r="B2812" s="1">
        <v>45030</v>
      </c>
    </row>
    <row r="2813" spans="2:2" x14ac:dyDescent="0.25">
      <c r="B2813" s="1">
        <v>45031</v>
      </c>
    </row>
    <row r="2814" spans="2:2" x14ac:dyDescent="0.25">
      <c r="B2814" s="1">
        <v>45032</v>
      </c>
    </row>
    <row r="2815" spans="2:2" x14ac:dyDescent="0.25">
      <c r="B2815" s="1">
        <v>45033</v>
      </c>
    </row>
    <row r="2816" spans="2:2" x14ac:dyDescent="0.25">
      <c r="B2816" s="1">
        <v>45034</v>
      </c>
    </row>
    <row r="2817" spans="2:2" x14ac:dyDescent="0.25">
      <c r="B2817" s="1">
        <v>45035</v>
      </c>
    </row>
    <row r="2818" spans="2:2" x14ac:dyDescent="0.25">
      <c r="B2818" s="1">
        <v>45036</v>
      </c>
    </row>
    <row r="2819" spans="2:2" x14ac:dyDescent="0.25">
      <c r="B2819" s="1">
        <v>45037</v>
      </c>
    </row>
    <row r="2820" spans="2:2" x14ac:dyDescent="0.25">
      <c r="B2820" s="1">
        <v>45038</v>
      </c>
    </row>
    <row r="2821" spans="2:2" x14ac:dyDescent="0.25">
      <c r="B2821" s="1">
        <v>45039</v>
      </c>
    </row>
    <row r="2822" spans="2:2" x14ac:dyDescent="0.25">
      <c r="B2822" s="1">
        <v>45040</v>
      </c>
    </row>
    <row r="2823" spans="2:2" x14ac:dyDescent="0.25">
      <c r="B2823" s="1">
        <v>45041</v>
      </c>
    </row>
    <row r="2824" spans="2:2" x14ac:dyDescent="0.25">
      <c r="B2824" s="1">
        <v>45042</v>
      </c>
    </row>
    <row r="2825" spans="2:2" x14ac:dyDescent="0.25">
      <c r="B2825" s="1">
        <v>45043</v>
      </c>
    </row>
    <row r="2826" spans="2:2" x14ac:dyDescent="0.25">
      <c r="B2826" s="1">
        <v>45044</v>
      </c>
    </row>
    <row r="2827" spans="2:2" x14ac:dyDescent="0.25">
      <c r="B2827" s="1">
        <v>45045</v>
      </c>
    </row>
    <row r="2828" spans="2:2" x14ac:dyDescent="0.25">
      <c r="B2828" s="1">
        <v>45046</v>
      </c>
    </row>
    <row r="2829" spans="2:2" x14ac:dyDescent="0.25">
      <c r="B2829" s="1">
        <v>45047</v>
      </c>
    </row>
    <row r="2830" spans="2:2" x14ac:dyDescent="0.25">
      <c r="B2830" s="1">
        <v>45048</v>
      </c>
    </row>
    <row r="2831" spans="2:2" x14ac:dyDescent="0.25">
      <c r="B2831" s="1">
        <v>45049</v>
      </c>
    </row>
    <row r="2832" spans="2:2" x14ac:dyDescent="0.25">
      <c r="B2832" s="1">
        <v>45050</v>
      </c>
    </row>
    <row r="2833" spans="2:2" x14ac:dyDescent="0.25">
      <c r="B2833" s="1">
        <v>45051</v>
      </c>
    </row>
    <row r="2834" spans="2:2" x14ac:dyDescent="0.25">
      <c r="B2834" s="1">
        <v>45052</v>
      </c>
    </row>
    <row r="2835" spans="2:2" x14ac:dyDescent="0.25">
      <c r="B2835" s="1">
        <v>45053</v>
      </c>
    </row>
    <row r="2836" spans="2:2" x14ac:dyDescent="0.25">
      <c r="B2836" s="1">
        <v>45054</v>
      </c>
    </row>
    <row r="2837" spans="2:2" x14ac:dyDescent="0.25">
      <c r="B2837" s="1">
        <v>45055</v>
      </c>
    </row>
    <row r="2838" spans="2:2" x14ac:dyDescent="0.25">
      <c r="B2838" s="1">
        <v>45056</v>
      </c>
    </row>
    <row r="2839" spans="2:2" x14ac:dyDescent="0.25">
      <c r="B2839" s="1">
        <v>45057</v>
      </c>
    </row>
    <row r="2840" spans="2:2" x14ac:dyDescent="0.25">
      <c r="B2840" s="1">
        <v>45058</v>
      </c>
    </row>
    <row r="2841" spans="2:2" x14ac:dyDescent="0.25">
      <c r="B2841" s="1">
        <v>45059</v>
      </c>
    </row>
    <row r="2842" spans="2:2" x14ac:dyDescent="0.25">
      <c r="B2842" s="1">
        <v>45060</v>
      </c>
    </row>
    <row r="2843" spans="2:2" x14ac:dyDescent="0.25">
      <c r="B2843" s="1">
        <v>45061</v>
      </c>
    </row>
    <row r="2844" spans="2:2" x14ac:dyDescent="0.25">
      <c r="B2844" s="1">
        <v>45062</v>
      </c>
    </row>
    <row r="2845" spans="2:2" x14ac:dyDescent="0.25">
      <c r="B2845" s="1">
        <v>45063</v>
      </c>
    </row>
    <row r="2846" spans="2:2" x14ac:dyDescent="0.25">
      <c r="B2846" s="1">
        <v>45064</v>
      </c>
    </row>
    <row r="2847" spans="2:2" x14ac:dyDescent="0.25">
      <c r="B2847" s="1">
        <v>45065</v>
      </c>
    </row>
    <row r="2848" spans="2:2" x14ac:dyDescent="0.25">
      <c r="B2848" s="1">
        <v>45066</v>
      </c>
    </row>
    <row r="2849" spans="2:2" x14ac:dyDescent="0.25">
      <c r="B2849" s="1">
        <v>45067</v>
      </c>
    </row>
    <row r="2850" spans="2:2" x14ac:dyDescent="0.25">
      <c r="B2850" s="1">
        <v>45068</v>
      </c>
    </row>
    <row r="2851" spans="2:2" x14ac:dyDescent="0.25">
      <c r="B2851" s="1">
        <v>45069</v>
      </c>
    </row>
    <row r="2852" spans="2:2" x14ac:dyDescent="0.25">
      <c r="B2852" s="1">
        <v>45070</v>
      </c>
    </row>
    <row r="2853" spans="2:2" x14ac:dyDescent="0.25">
      <c r="B2853" s="1">
        <v>45071</v>
      </c>
    </row>
    <row r="2854" spans="2:2" x14ac:dyDescent="0.25">
      <c r="B2854" s="1">
        <v>45072</v>
      </c>
    </row>
    <row r="2855" spans="2:2" x14ac:dyDescent="0.25">
      <c r="B2855" s="1">
        <v>45073</v>
      </c>
    </row>
    <row r="2856" spans="2:2" x14ac:dyDescent="0.25">
      <c r="B2856" s="1">
        <v>45074</v>
      </c>
    </row>
    <row r="2857" spans="2:2" x14ac:dyDescent="0.25">
      <c r="B2857" s="1">
        <v>45075</v>
      </c>
    </row>
    <row r="2858" spans="2:2" x14ac:dyDescent="0.25">
      <c r="B2858" s="1">
        <v>45076</v>
      </c>
    </row>
    <row r="2859" spans="2:2" x14ac:dyDescent="0.25">
      <c r="B2859" s="1">
        <v>45077</v>
      </c>
    </row>
    <row r="2860" spans="2:2" x14ac:dyDescent="0.25">
      <c r="B2860" s="1">
        <v>45078</v>
      </c>
    </row>
    <row r="2861" spans="2:2" x14ac:dyDescent="0.25">
      <c r="B2861" s="1">
        <v>45079</v>
      </c>
    </row>
    <row r="2862" spans="2:2" x14ac:dyDescent="0.25">
      <c r="B2862" s="1">
        <v>45080</v>
      </c>
    </row>
    <row r="2863" spans="2:2" x14ac:dyDescent="0.25">
      <c r="B2863" s="1">
        <v>45081</v>
      </c>
    </row>
    <row r="2864" spans="2:2" x14ac:dyDescent="0.25">
      <c r="B2864" s="1">
        <v>45082</v>
      </c>
    </row>
    <row r="2865" spans="2:2" x14ac:dyDescent="0.25">
      <c r="B2865" s="1">
        <v>45083</v>
      </c>
    </row>
    <row r="2866" spans="2:2" x14ac:dyDescent="0.25">
      <c r="B2866" s="1">
        <v>45084</v>
      </c>
    </row>
    <row r="2867" spans="2:2" x14ac:dyDescent="0.25">
      <c r="B2867" s="1">
        <v>45085</v>
      </c>
    </row>
    <row r="2868" spans="2:2" x14ac:dyDescent="0.25">
      <c r="B2868" s="1">
        <v>45086</v>
      </c>
    </row>
    <row r="2869" spans="2:2" x14ac:dyDescent="0.25">
      <c r="B2869" s="1">
        <v>45087</v>
      </c>
    </row>
    <row r="2870" spans="2:2" x14ac:dyDescent="0.25">
      <c r="B2870" s="1">
        <v>45088</v>
      </c>
    </row>
    <row r="2871" spans="2:2" x14ac:dyDescent="0.25">
      <c r="B2871" s="1">
        <v>45089</v>
      </c>
    </row>
    <row r="2872" spans="2:2" x14ac:dyDescent="0.25">
      <c r="B2872" s="1">
        <v>45090</v>
      </c>
    </row>
    <row r="2873" spans="2:2" x14ac:dyDescent="0.25">
      <c r="B2873" s="1">
        <v>45091</v>
      </c>
    </row>
    <row r="2874" spans="2:2" x14ac:dyDescent="0.25">
      <c r="B2874" s="1">
        <v>45092</v>
      </c>
    </row>
    <row r="2875" spans="2:2" x14ac:dyDescent="0.25">
      <c r="B2875" s="1">
        <v>45093</v>
      </c>
    </row>
    <row r="2876" spans="2:2" x14ac:dyDescent="0.25">
      <c r="B2876" s="1">
        <v>45094</v>
      </c>
    </row>
    <row r="2877" spans="2:2" x14ac:dyDescent="0.25">
      <c r="B2877" s="1">
        <v>45095</v>
      </c>
    </row>
    <row r="2878" spans="2:2" x14ac:dyDescent="0.25">
      <c r="B2878" s="1">
        <v>45096</v>
      </c>
    </row>
    <row r="2879" spans="2:2" x14ac:dyDescent="0.25">
      <c r="B2879" s="1">
        <v>45097</v>
      </c>
    </row>
    <row r="2880" spans="2:2" x14ac:dyDescent="0.25">
      <c r="B2880" s="1">
        <v>45098</v>
      </c>
    </row>
    <row r="2881" spans="2:2" x14ac:dyDescent="0.25">
      <c r="B2881" s="1">
        <v>45099</v>
      </c>
    </row>
    <row r="2882" spans="2:2" x14ac:dyDescent="0.25">
      <c r="B2882" s="1">
        <v>45100</v>
      </c>
    </row>
    <row r="2883" spans="2:2" x14ac:dyDescent="0.25">
      <c r="B2883" s="1">
        <v>45101</v>
      </c>
    </row>
    <row r="2884" spans="2:2" x14ac:dyDescent="0.25">
      <c r="B2884" s="1">
        <v>45102</v>
      </c>
    </row>
    <row r="2885" spans="2:2" x14ac:dyDescent="0.25">
      <c r="B2885" s="1">
        <v>45103</v>
      </c>
    </row>
    <row r="2886" spans="2:2" x14ac:dyDescent="0.25">
      <c r="B2886" s="1">
        <v>45104</v>
      </c>
    </row>
    <row r="2887" spans="2:2" x14ac:dyDescent="0.25">
      <c r="B2887" s="1">
        <v>45105</v>
      </c>
    </row>
    <row r="2888" spans="2:2" x14ac:dyDescent="0.25">
      <c r="B2888" s="1">
        <v>45106</v>
      </c>
    </row>
    <row r="2889" spans="2:2" x14ac:dyDescent="0.25">
      <c r="B2889" s="1">
        <v>45107</v>
      </c>
    </row>
    <row r="2890" spans="2:2" x14ac:dyDescent="0.25">
      <c r="B2890" s="1">
        <v>45108</v>
      </c>
    </row>
    <row r="2891" spans="2:2" x14ac:dyDescent="0.25">
      <c r="B2891" s="1">
        <v>45109</v>
      </c>
    </row>
    <row r="2892" spans="2:2" x14ac:dyDescent="0.25">
      <c r="B2892" s="1">
        <v>45110</v>
      </c>
    </row>
    <row r="2893" spans="2:2" x14ac:dyDescent="0.25">
      <c r="B2893" s="1">
        <v>45111</v>
      </c>
    </row>
    <row r="2894" spans="2:2" x14ac:dyDescent="0.25">
      <c r="B2894" s="1">
        <v>45112</v>
      </c>
    </row>
    <row r="2895" spans="2:2" x14ac:dyDescent="0.25">
      <c r="B2895" s="1">
        <v>45113</v>
      </c>
    </row>
    <row r="2896" spans="2:2" x14ac:dyDescent="0.25">
      <c r="B2896" s="1">
        <v>45114</v>
      </c>
    </row>
    <row r="2897" spans="2:2" x14ac:dyDescent="0.25">
      <c r="B2897" s="1">
        <v>45115</v>
      </c>
    </row>
    <row r="2898" spans="2:2" x14ac:dyDescent="0.25">
      <c r="B2898" s="1">
        <v>45116</v>
      </c>
    </row>
    <row r="2899" spans="2:2" x14ac:dyDescent="0.25">
      <c r="B2899" s="1">
        <v>45117</v>
      </c>
    </row>
    <row r="2900" spans="2:2" x14ac:dyDescent="0.25">
      <c r="B2900" s="1">
        <v>45118</v>
      </c>
    </row>
    <row r="2901" spans="2:2" x14ac:dyDescent="0.25">
      <c r="B2901" s="1">
        <v>45119</v>
      </c>
    </row>
    <row r="2902" spans="2:2" x14ac:dyDescent="0.25">
      <c r="B2902" s="1">
        <v>45120</v>
      </c>
    </row>
    <row r="2903" spans="2:2" x14ac:dyDescent="0.25">
      <c r="B2903" s="1">
        <v>45121</v>
      </c>
    </row>
    <row r="2904" spans="2:2" x14ac:dyDescent="0.25">
      <c r="B2904" s="1">
        <v>45122</v>
      </c>
    </row>
    <row r="2905" spans="2:2" x14ac:dyDescent="0.25">
      <c r="B2905" s="1">
        <v>45123</v>
      </c>
    </row>
    <row r="2906" spans="2:2" x14ac:dyDescent="0.25">
      <c r="B2906" s="1">
        <v>45124</v>
      </c>
    </row>
    <row r="2907" spans="2:2" x14ac:dyDescent="0.25">
      <c r="B2907" s="1">
        <v>45125</v>
      </c>
    </row>
    <row r="2908" spans="2:2" x14ac:dyDescent="0.25">
      <c r="B2908" s="1">
        <v>45126</v>
      </c>
    </row>
    <row r="2909" spans="2:2" x14ac:dyDescent="0.25">
      <c r="B2909" s="1">
        <v>45127</v>
      </c>
    </row>
    <row r="2910" spans="2:2" x14ac:dyDescent="0.25">
      <c r="B2910" s="1">
        <v>45128</v>
      </c>
    </row>
    <row r="2911" spans="2:2" x14ac:dyDescent="0.25">
      <c r="B2911" s="1">
        <v>45129</v>
      </c>
    </row>
    <row r="2912" spans="2:2" x14ac:dyDescent="0.25">
      <c r="B2912" s="1">
        <v>45130</v>
      </c>
    </row>
    <row r="2913" spans="2:2" x14ac:dyDescent="0.25">
      <c r="B2913" s="1">
        <v>45131</v>
      </c>
    </row>
    <row r="2914" spans="2:2" x14ac:dyDescent="0.25">
      <c r="B2914" s="1">
        <v>45132</v>
      </c>
    </row>
    <row r="2915" spans="2:2" x14ac:dyDescent="0.25">
      <c r="B2915" s="1">
        <v>45133</v>
      </c>
    </row>
    <row r="2916" spans="2:2" x14ac:dyDescent="0.25">
      <c r="B2916" s="1">
        <v>45134</v>
      </c>
    </row>
    <row r="2917" spans="2:2" x14ac:dyDescent="0.25">
      <c r="B2917" s="1">
        <v>45135</v>
      </c>
    </row>
    <row r="2918" spans="2:2" x14ac:dyDescent="0.25">
      <c r="B2918" s="1">
        <v>45136</v>
      </c>
    </row>
    <row r="2919" spans="2:2" x14ac:dyDescent="0.25">
      <c r="B2919" s="1">
        <v>45137</v>
      </c>
    </row>
    <row r="2920" spans="2:2" x14ac:dyDescent="0.25">
      <c r="B2920" s="1">
        <v>45138</v>
      </c>
    </row>
    <row r="2921" spans="2:2" x14ac:dyDescent="0.25">
      <c r="B2921" s="1">
        <v>45139</v>
      </c>
    </row>
    <row r="2922" spans="2:2" x14ac:dyDescent="0.25">
      <c r="B2922" s="1">
        <v>45140</v>
      </c>
    </row>
    <row r="2923" spans="2:2" x14ac:dyDescent="0.25">
      <c r="B2923" s="1">
        <v>45141</v>
      </c>
    </row>
    <row r="2924" spans="2:2" x14ac:dyDescent="0.25">
      <c r="B2924" s="1">
        <v>45142</v>
      </c>
    </row>
    <row r="2925" spans="2:2" x14ac:dyDescent="0.25">
      <c r="B2925" s="1">
        <v>45143</v>
      </c>
    </row>
    <row r="2926" spans="2:2" x14ac:dyDescent="0.25">
      <c r="B2926" s="1">
        <v>45144</v>
      </c>
    </row>
    <row r="2927" spans="2:2" x14ac:dyDescent="0.25">
      <c r="B2927" s="1">
        <v>45145</v>
      </c>
    </row>
    <row r="2928" spans="2:2" x14ac:dyDescent="0.25">
      <c r="B2928" s="1">
        <v>45146</v>
      </c>
    </row>
    <row r="2929" spans="2:2" x14ac:dyDescent="0.25">
      <c r="B2929" s="1">
        <v>45147</v>
      </c>
    </row>
    <row r="2930" spans="2:2" x14ac:dyDescent="0.25">
      <c r="B2930" s="1">
        <v>45148</v>
      </c>
    </row>
    <row r="2931" spans="2:2" x14ac:dyDescent="0.25">
      <c r="B2931" s="1">
        <v>45149</v>
      </c>
    </row>
    <row r="2932" spans="2:2" x14ac:dyDescent="0.25">
      <c r="B2932" s="1">
        <v>45150</v>
      </c>
    </row>
    <row r="2933" spans="2:2" x14ac:dyDescent="0.25">
      <c r="B2933" s="1">
        <v>45151</v>
      </c>
    </row>
    <row r="2934" spans="2:2" x14ac:dyDescent="0.25">
      <c r="B2934" s="1">
        <v>45152</v>
      </c>
    </row>
    <row r="2935" spans="2:2" x14ac:dyDescent="0.25">
      <c r="B2935" s="1">
        <v>45153</v>
      </c>
    </row>
    <row r="2936" spans="2:2" x14ac:dyDescent="0.25">
      <c r="B2936" s="1">
        <v>45154</v>
      </c>
    </row>
    <row r="2937" spans="2:2" x14ac:dyDescent="0.25">
      <c r="B2937" s="1">
        <v>45155</v>
      </c>
    </row>
    <row r="2938" spans="2:2" x14ac:dyDescent="0.25">
      <c r="B2938" s="1">
        <v>45156</v>
      </c>
    </row>
    <row r="2939" spans="2:2" x14ac:dyDescent="0.25">
      <c r="B2939" s="1">
        <v>45157</v>
      </c>
    </row>
    <row r="2940" spans="2:2" x14ac:dyDescent="0.25">
      <c r="B2940" s="1">
        <v>45158</v>
      </c>
    </row>
    <row r="2941" spans="2:2" x14ac:dyDescent="0.25">
      <c r="B2941" s="1">
        <v>45159</v>
      </c>
    </row>
    <row r="2942" spans="2:2" x14ac:dyDescent="0.25">
      <c r="B2942" s="1">
        <v>45160</v>
      </c>
    </row>
    <row r="2943" spans="2:2" x14ac:dyDescent="0.25">
      <c r="B2943" s="1">
        <v>45161</v>
      </c>
    </row>
    <row r="2944" spans="2:2" x14ac:dyDescent="0.25">
      <c r="B2944" s="1">
        <v>45162</v>
      </c>
    </row>
    <row r="2945" spans="2:2" x14ac:dyDescent="0.25">
      <c r="B2945" s="1">
        <v>45163</v>
      </c>
    </row>
    <row r="2946" spans="2:2" x14ac:dyDescent="0.25">
      <c r="B2946" s="1">
        <v>45164</v>
      </c>
    </row>
    <row r="2947" spans="2:2" x14ac:dyDescent="0.25">
      <c r="B2947" s="1">
        <v>45165</v>
      </c>
    </row>
    <row r="2948" spans="2:2" x14ac:dyDescent="0.25">
      <c r="B2948" s="1">
        <v>45166</v>
      </c>
    </row>
    <row r="2949" spans="2:2" x14ac:dyDescent="0.25">
      <c r="B2949" s="1">
        <v>45167</v>
      </c>
    </row>
    <row r="2950" spans="2:2" x14ac:dyDescent="0.25">
      <c r="B2950" s="1">
        <v>45168</v>
      </c>
    </row>
    <row r="2951" spans="2:2" x14ac:dyDescent="0.25">
      <c r="B2951" s="1">
        <v>45169</v>
      </c>
    </row>
    <row r="2952" spans="2:2" x14ac:dyDescent="0.25">
      <c r="B2952" s="1">
        <v>45170</v>
      </c>
    </row>
    <row r="2953" spans="2:2" x14ac:dyDescent="0.25">
      <c r="B2953" s="1">
        <v>45171</v>
      </c>
    </row>
    <row r="2954" spans="2:2" x14ac:dyDescent="0.25">
      <c r="B2954" s="1">
        <v>45172</v>
      </c>
    </row>
    <row r="2955" spans="2:2" x14ac:dyDescent="0.25">
      <c r="B2955" s="1">
        <v>45173</v>
      </c>
    </row>
    <row r="2956" spans="2:2" x14ac:dyDescent="0.25">
      <c r="B2956" s="1">
        <v>45174</v>
      </c>
    </row>
    <row r="2957" spans="2:2" x14ac:dyDescent="0.25">
      <c r="B2957" s="1">
        <v>45175</v>
      </c>
    </row>
    <row r="2958" spans="2:2" x14ac:dyDescent="0.25">
      <c r="B2958" s="1">
        <v>45176</v>
      </c>
    </row>
    <row r="2959" spans="2:2" x14ac:dyDescent="0.25">
      <c r="B2959" s="1">
        <v>45177</v>
      </c>
    </row>
    <row r="2960" spans="2:2" x14ac:dyDescent="0.25">
      <c r="B2960" s="1">
        <v>45178</v>
      </c>
    </row>
    <row r="2961" spans="2:2" x14ac:dyDescent="0.25">
      <c r="B2961" s="1">
        <v>45179</v>
      </c>
    </row>
    <row r="2962" spans="2:2" x14ac:dyDescent="0.25">
      <c r="B2962" s="1">
        <v>45180</v>
      </c>
    </row>
    <row r="2963" spans="2:2" x14ac:dyDescent="0.25">
      <c r="B2963" s="1">
        <v>45181</v>
      </c>
    </row>
    <row r="2964" spans="2:2" x14ac:dyDescent="0.25">
      <c r="B2964" s="1">
        <v>45182</v>
      </c>
    </row>
    <row r="2965" spans="2:2" x14ac:dyDescent="0.25">
      <c r="B2965" s="1">
        <v>45183</v>
      </c>
    </row>
    <row r="2966" spans="2:2" x14ac:dyDescent="0.25">
      <c r="B2966" s="1">
        <v>45184</v>
      </c>
    </row>
    <row r="2967" spans="2:2" x14ac:dyDescent="0.25">
      <c r="B2967" s="1">
        <v>45185</v>
      </c>
    </row>
    <row r="2968" spans="2:2" x14ac:dyDescent="0.25">
      <c r="B2968" s="1">
        <v>45186</v>
      </c>
    </row>
    <row r="2969" spans="2:2" x14ac:dyDescent="0.25">
      <c r="B2969" s="1">
        <v>45187</v>
      </c>
    </row>
    <row r="2970" spans="2:2" x14ac:dyDescent="0.25">
      <c r="B2970" s="1">
        <v>45188</v>
      </c>
    </row>
    <row r="2971" spans="2:2" x14ac:dyDescent="0.25">
      <c r="B2971" s="1">
        <v>45189</v>
      </c>
    </row>
    <row r="2972" spans="2:2" x14ac:dyDescent="0.25">
      <c r="B2972" s="1">
        <v>45190</v>
      </c>
    </row>
    <row r="2973" spans="2:2" x14ac:dyDescent="0.25">
      <c r="B2973" s="1">
        <v>45191</v>
      </c>
    </row>
    <row r="2974" spans="2:2" x14ac:dyDescent="0.25">
      <c r="B2974" s="1">
        <v>45192</v>
      </c>
    </row>
    <row r="2975" spans="2:2" x14ac:dyDescent="0.25">
      <c r="B2975" s="1">
        <v>45193</v>
      </c>
    </row>
    <row r="2976" spans="2:2" x14ac:dyDescent="0.25">
      <c r="B2976" s="1">
        <v>45194</v>
      </c>
    </row>
    <row r="2977" spans="2:2" x14ac:dyDescent="0.25">
      <c r="B2977" s="1">
        <v>45195</v>
      </c>
    </row>
    <row r="2978" spans="2:2" x14ac:dyDescent="0.25">
      <c r="B2978" s="1">
        <v>45196</v>
      </c>
    </row>
    <row r="2979" spans="2:2" x14ac:dyDescent="0.25">
      <c r="B2979" s="1">
        <v>45197</v>
      </c>
    </row>
    <row r="2980" spans="2:2" x14ac:dyDescent="0.25">
      <c r="B2980" s="1">
        <v>45198</v>
      </c>
    </row>
    <row r="2981" spans="2:2" x14ac:dyDescent="0.25">
      <c r="B2981" s="1">
        <v>45199</v>
      </c>
    </row>
    <row r="2982" spans="2:2" x14ac:dyDescent="0.25">
      <c r="B2982" s="1">
        <v>45200</v>
      </c>
    </row>
    <row r="2983" spans="2:2" x14ac:dyDescent="0.25">
      <c r="B2983" s="1">
        <v>45201</v>
      </c>
    </row>
    <row r="2984" spans="2:2" x14ac:dyDescent="0.25">
      <c r="B2984" s="1">
        <v>45202</v>
      </c>
    </row>
    <row r="2985" spans="2:2" x14ac:dyDescent="0.25">
      <c r="B2985" s="1">
        <v>45203</v>
      </c>
    </row>
    <row r="2986" spans="2:2" x14ac:dyDescent="0.25">
      <c r="B2986" s="1">
        <v>45204</v>
      </c>
    </row>
    <row r="2987" spans="2:2" x14ac:dyDescent="0.25">
      <c r="B2987" s="1">
        <v>45205</v>
      </c>
    </row>
    <row r="2988" spans="2:2" x14ac:dyDescent="0.25">
      <c r="B2988" s="1">
        <v>45206</v>
      </c>
    </row>
    <row r="2989" spans="2:2" x14ac:dyDescent="0.25">
      <c r="B2989" s="1">
        <v>45207</v>
      </c>
    </row>
    <row r="2990" spans="2:2" x14ac:dyDescent="0.25">
      <c r="B2990" s="1">
        <v>45208</v>
      </c>
    </row>
    <row r="2991" spans="2:2" x14ac:dyDescent="0.25">
      <c r="B2991" s="1">
        <v>45209</v>
      </c>
    </row>
    <row r="2992" spans="2:2" x14ac:dyDescent="0.25">
      <c r="B2992" s="1">
        <v>45210</v>
      </c>
    </row>
    <row r="2993" spans="2:2" x14ac:dyDescent="0.25">
      <c r="B2993" s="1">
        <v>45211</v>
      </c>
    </row>
    <row r="2994" spans="2:2" x14ac:dyDescent="0.25">
      <c r="B2994" s="1">
        <v>45212</v>
      </c>
    </row>
    <row r="2995" spans="2:2" x14ac:dyDescent="0.25">
      <c r="B2995" s="1">
        <v>45213</v>
      </c>
    </row>
    <row r="2996" spans="2:2" x14ac:dyDescent="0.25">
      <c r="B2996" s="1">
        <v>45214</v>
      </c>
    </row>
    <row r="2997" spans="2:2" x14ac:dyDescent="0.25">
      <c r="B2997" s="1">
        <v>45215</v>
      </c>
    </row>
    <row r="2998" spans="2:2" x14ac:dyDescent="0.25">
      <c r="B2998" s="1">
        <v>45216</v>
      </c>
    </row>
    <row r="2999" spans="2:2" x14ac:dyDescent="0.25">
      <c r="B2999" s="1">
        <v>45217</v>
      </c>
    </row>
    <row r="3000" spans="2:2" x14ac:dyDescent="0.25">
      <c r="B3000" s="1">
        <v>45218</v>
      </c>
    </row>
    <row r="3001" spans="2:2" x14ac:dyDescent="0.25">
      <c r="B3001" s="1">
        <v>45219</v>
      </c>
    </row>
    <row r="3002" spans="2:2" x14ac:dyDescent="0.25">
      <c r="B3002" s="1">
        <v>45220</v>
      </c>
    </row>
    <row r="3003" spans="2:2" x14ac:dyDescent="0.25">
      <c r="B3003" s="1">
        <v>45221</v>
      </c>
    </row>
    <row r="3004" spans="2:2" x14ac:dyDescent="0.25">
      <c r="B3004" s="1">
        <v>45222</v>
      </c>
    </row>
    <row r="3005" spans="2:2" x14ac:dyDescent="0.25">
      <c r="B3005" s="1">
        <v>45223</v>
      </c>
    </row>
    <row r="3006" spans="2:2" x14ac:dyDescent="0.25">
      <c r="B3006" s="1">
        <v>45224</v>
      </c>
    </row>
    <row r="3007" spans="2:2" x14ac:dyDescent="0.25">
      <c r="B3007" s="1">
        <v>45225</v>
      </c>
    </row>
    <row r="3008" spans="2:2" x14ac:dyDescent="0.25">
      <c r="B3008" s="1">
        <v>45226</v>
      </c>
    </row>
    <row r="3009" spans="2:2" x14ac:dyDescent="0.25">
      <c r="B3009" s="1">
        <v>45227</v>
      </c>
    </row>
    <row r="3010" spans="2:2" x14ac:dyDescent="0.25">
      <c r="B3010" s="1">
        <v>45228</v>
      </c>
    </row>
    <row r="3011" spans="2:2" x14ac:dyDescent="0.25">
      <c r="B3011" s="1">
        <v>45229</v>
      </c>
    </row>
    <row r="3012" spans="2:2" x14ac:dyDescent="0.25">
      <c r="B3012" s="1">
        <v>45230</v>
      </c>
    </row>
    <row r="3013" spans="2:2" x14ac:dyDescent="0.25">
      <c r="B3013" s="1">
        <v>45231</v>
      </c>
    </row>
    <row r="3014" spans="2:2" x14ac:dyDescent="0.25">
      <c r="B3014" s="1">
        <v>45232</v>
      </c>
    </row>
    <row r="3015" spans="2:2" x14ac:dyDescent="0.25">
      <c r="B3015" s="1">
        <v>45233</v>
      </c>
    </row>
    <row r="3016" spans="2:2" x14ac:dyDescent="0.25">
      <c r="B3016" s="1">
        <v>45234</v>
      </c>
    </row>
    <row r="3017" spans="2:2" x14ac:dyDescent="0.25">
      <c r="B3017" s="1">
        <v>45235</v>
      </c>
    </row>
    <row r="3018" spans="2:2" x14ac:dyDescent="0.25">
      <c r="B3018" s="1">
        <v>45236</v>
      </c>
    </row>
    <row r="3019" spans="2:2" x14ac:dyDescent="0.25">
      <c r="B3019" s="1">
        <v>45237</v>
      </c>
    </row>
    <row r="3020" spans="2:2" x14ac:dyDescent="0.25">
      <c r="B3020" s="1">
        <v>45238</v>
      </c>
    </row>
    <row r="3021" spans="2:2" x14ac:dyDescent="0.25">
      <c r="B3021" s="1">
        <v>45239</v>
      </c>
    </row>
    <row r="3022" spans="2:2" x14ac:dyDescent="0.25">
      <c r="B3022" s="1">
        <v>45240</v>
      </c>
    </row>
    <row r="3023" spans="2:2" x14ac:dyDescent="0.25">
      <c r="B3023" s="1">
        <v>45241</v>
      </c>
    </row>
    <row r="3024" spans="2:2" x14ac:dyDescent="0.25">
      <c r="B3024" s="1">
        <v>45242</v>
      </c>
    </row>
    <row r="3025" spans="2:2" x14ac:dyDescent="0.25">
      <c r="B3025" s="1">
        <v>45243</v>
      </c>
    </row>
    <row r="3026" spans="2:2" x14ac:dyDescent="0.25">
      <c r="B3026" s="1">
        <v>45244</v>
      </c>
    </row>
    <row r="3027" spans="2:2" x14ac:dyDescent="0.25">
      <c r="B3027" s="1">
        <v>45245</v>
      </c>
    </row>
    <row r="3028" spans="2:2" x14ac:dyDescent="0.25">
      <c r="B3028" s="1">
        <v>45246</v>
      </c>
    </row>
    <row r="3029" spans="2:2" x14ac:dyDescent="0.25">
      <c r="B3029" s="1">
        <v>45247</v>
      </c>
    </row>
    <row r="3030" spans="2:2" x14ac:dyDescent="0.25">
      <c r="B3030" s="1">
        <v>45248</v>
      </c>
    </row>
    <row r="3031" spans="2:2" x14ac:dyDescent="0.25">
      <c r="B3031" s="1">
        <v>45249</v>
      </c>
    </row>
    <row r="3032" spans="2:2" x14ac:dyDescent="0.25">
      <c r="B3032" s="1">
        <v>45250</v>
      </c>
    </row>
    <row r="3033" spans="2:2" x14ac:dyDescent="0.25">
      <c r="B3033" s="1">
        <v>45251</v>
      </c>
    </row>
    <row r="3034" spans="2:2" x14ac:dyDescent="0.25">
      <c r="B3034" s="1">
        <v>45252</v>
      </c>
    </row>
    <row r="3035" spans="2:2" x14ac:dyDescent="0.25">
      <c r="B3035" s="1">
        <v>45253</v>
      </c>
    </row>
    <row r="3036" spans="2:2" x14ac:dyDescent="0.25">
      <c r="B3036" s="1">
        <v>45254</v>
      </c>
    </row>
    <row r="3037" spans="2:2" x14ac:dyDescent="0.25">
      <c r="B3037" s="1">
        <v>45255</v>
      </c>
    </row>
    <row r="3038" spans="2:2" x14ac:dyDescent="0.25">
      <c r="B3038" s="1">
        <v>45256</v>
      </c>
    </row>
    <row r="3039" spans="2:2" x14ac:dyDescent="0.25">
      <c r="B3039" s="1">
        <v>45257</v>
      </c>
    </row>
    <row r="3040" spans="2:2" x14ac:dyDescent="0.25">
      <c r="B3040" s="1">
        <v>45258</v>
      </c>
    </row>
    <row r="3041" spans="2:2" x14ac:dyDescent="0.25">
      <c r="B3041" s="1">
        <v>45259</v>
      </c>
    </row>
    <row r="3042" spans="2:2" x14ac:dyDescent="0.25">
      <c r="B3042" s="1">
        <v>45260</v>
      </c>
    </row>
    <row r="3043" spans="2:2" x14ac:dyDescent="0.25">
      <c r="B3043" s="1">
        <v>45261</v>
      </c>
    </row>
    <row r="3044" spans="2:2" x14ac:dyDescent="0.25">
      <c r="B3044" s="1">
        <v>45262</v>
      </c>
    </row>
    <row r="3045" spans="2:2" x14ac:dyDescent="0.25">
      <c r="B3045" s="1">
        <v>45263</v>
      </c>
    </row>
    <row r="3046" spans="2:2" x14ac:dyDescent="0.25">
      <c r="B3046" s="1">
        <v>45264</v>
      </c>
    </row>
    <row r="3047" spans="2:2" x14ac:dyDescent="0.25">
      <c r="B3047" s="1">
        <v>45265</v>
      </c>
    </row>
    <row r="3048" spans="2:2" x14ac:dyDescent="0.25">
      <c r="B3048" s="1">
        <v>45266</v>
      </c>
    </row>
    <row r="3049" spans="2:2" x14ac:dyDescent="0.25">
      <c r="B3049" s="1">
        <v>45267</v>
      </c>
    </row>
    <row r="3050" spans="2:2" x14ac:dyDescent="0.25">
      <c r="B3050" s="1">
        <v>45268</v>
      </c>
    </row>
    <row r="3051" spans="2:2" x14ac:dyDescent="0.25">
      <c r="B3051" s="1">
        <v>45269</v>
      </c>
    </row>
    <row r="3052" spans="2:2" x14ac:dyDescent="0.25">
      <c r="B3052" s="1">
        <v>45270</v>
      </c>
    </row>
    <row r="3053" spans="2:2" x14ac:dyDescent="0.25">
      <c r="B3053" s="1">
        <v>45271</v>
      </c>
    </row>
    <row r="3054" spans="2:2" x14ac:dyDescent="0.25">
      <c r="B3054" s="1">
        <v>45272</v>
      </c>
    </row>
    <row r="3055" spans="2:2" x14ac:dyDescent="0.25">
      <c r="B3055" s="1">
        <v>45273</v>
      </c>
    </row>
    <row r="3056" spans="2:2" x14ac:dyDescent="0.25">
      <c r="B3056" s="1">
        <v>45274</v>
      </c>
    </row>
    <row r="3057" spans="2:2" x14ac:dyDescent="0.25">
      <c r="B3057" s="1">
        <v>45275</v>
      </c>
    </row>
    <row r="3058" spans="2:2" x14ac:dyDescent="0.25">
      <c r="B3058" s="1">
        <v>45276</v>
      </c>
    </row>
    <row r="3059" spans="2:2" x14ac:dyDescent="0.25">
      <c r="B3059" s="1">
        <v>45277</v>
      </c>
    </row>
    <row r="3060" spans="2:2" x14ac:dyDescent="0.25">
      <c r="B3060" s="1">
        <v>45278</v>
      </c>
    </row>
    <row r="3061" spans="2:2" x14ac:dyDescent="0.25">
      <c r="B3061" s="1">
        <v>45279</v>
      </c>
    </row>
    <row r="3062" spans="2:2" x14ac:dyDescent="0.25">
      <c r="B3062" s="1">
        <v>45280</v>
      </c>
    </row>
    <row r="3063" spans="2:2" x14ac:dyDescent="0.25">
      <c r="B3063" s="1">
        <v>45281</v>
      </c>
    </row>
    <row r="3064" spans="2:2" x14ac:dyDescent="0.25">
      <c r="B3064" s="1">
        <v>45282</v>
      </c>
    </row>
    <row r="3065" spans="2:2" x14ac:dyDescent="0.25">
      <c r="B3065" s="1">
        <v>45283</v>
      </c>
    </row>
    <row r="3066" spans="2:2" x14ac:dyDescent="0.25">
      <c r="B3066" s="1">
        <v>45284</v>
      </c>
    </row>
    <row r="3067" spans="2:2" x14ac:dyDescent="0.25">
      <c r="B3067" s="1">
        <v>45285</v>
      </c>
    </row>
    <row r="3068" spans="2:2" x14ac:dyDescent="0.25">
      <c r="B3068" s="1">
        <v>45286</v>
      </c>
    </row>
    <row r="3069" spans="2:2" x14ac:dyDescent="0.25">
      <c r="B3069" s="1">
        <v>45287</v>
      </c>
    </row>
    <row r="3070" spans="2:2" x14ac:dyDescent="0.25">
      <c r="B3070" s="1">
        <v>45288</v>
      </c>
    </row>
    <row r="3071" spans="2:2" x14ac:dyDescent="0.25">
      <c r="B3071" s="1">
        <v>45289</v>
      </c>
    </row>
    <row r="3072" spans="2:2" x14ac:dyDescent="0.25">
      <c r="B3072" s="1">
        <v>45290</v>
      </c>
    </row>
    <row r="3073" spans="2:2" x14ac:dyDescent="0.25">
      <c r="B3073" s="1">
        <v>45291</v>
      </c>
    </row>
    <row r="3074" spans="2:2" x14ac:dyDescent="0.25">
      <c r="B3074" s="1">
        <v>45292</v>
      </c>
    </row>
    <row r="3075" spans="2:2" x14ac:dyDescent="0.25">
      <c r="B3075" s="1">
        <v>45293</v>
      </c>
    </row>
    <row r="3076" spans="2:2" x14ac:dyDescent="0.25">
      <c r="B3076" s="1">
        <v>45294</v>
      </c>
    </row>
    <row r="3077" spans="2:2" x14ac:dyDescent="0.25">
      <c r="B3077" s="1">
        <v>45295</v>
      </c>
    </row>
    <row r="3078" spans="2:2" x14ac:dyDescent="0.25">
      <c r="B3078" s="1">
        <v>45296</v>
      </c>
    </row>
    <row r="3079" spans="2:2" x14ac:dyDescent="0.25">
      <c r="B3079" s="1">
        <v>45297</v>
      </c>
    </row>
    <row r="3080" spans="2:2" x14ac:dyDescent="0.25">
      <c r="B3080" s="1">
        <v>45298</v>
      </c>
    </row>
    <row r="3081" spans="2:2" x14ac:dyDescent="0.25">
      <c r="B3081" s="1">
        <v>45299</v>
      </c>
    </row>
    <row r="3082" spans="2:2" x14ac:dyDescent="0.25">
      <c r="B3082" s="1">
        <v>45300</v>
      </c>
    </row>
    <row r="3083" spans="2:2" x14ac:dyDescent="0.25">
      <c r="B3083" s="1">
        <v>45301</v>
      </c>
    </row>
    <row r="3084" spans="2:2" x14ac:dyDescent="0.25">
      <c r="B3084" s="1">
        <v>45302</v>
      </c>
    </row>
    <row r="3085" spans="2:2" x14ac:dyDescent="0.25">
      <c r="B3085" s="1">
        <v>45303</v>
      </c>
    </row>
    <row r="3086" spans="2:2" x14ac:dyDescent="0.25">
      <c r="B3086" s="1">
        <v>45304</v>
      </c>
    </row>
    <row r="3087" spans="2:2" x14ac:dyDescent="0.25">
      <c r="B3087" s="1">
        <v>45305</v>
      </c>
    </row>
    <row r="3088" spans="2:2" x14ac:dyDescent="0.25">
      <c r="B3088" s="1">
        <v>45306</v>
      </c>
    </row>
    <row r="3089" spans="2:2" x14ac:dyDescent="0.25">
      <c r="B3089" s="1">
        <v>45307</v>
      </c>
    </row>
    <row r="3090" spans="2:2" x14ac:dyDescent="0.25">
      <c r="B3090" s="1">
        <v>45308</v>
      </c>
    </row>
    <row r="3091" spans="2:2" x14ac:dyDescent="0.25">
      <c r="B3091" s="1">
        <v>45309</v>
      </c>
    </row>
    <row r="3092" spans="2:2" x14ac:dyDescent="0.25">
      <c r="B3092" s="1">
        <v>45310</v>
      </c>
    </row>
    <row r="3093" spans="2:2" x14ac:dyDescent="0.25">
      <c r="B3093" s="1">
        <v>45311</v>
      </c>
    </row>
    <row r="3094" spans="2:2" x14ac:dyDescent="0.25">
      <c r="B3094" s="1">
        <v>45312</v>
      </c>
    </row>
    <row r="3095" spans="2:2" x14ac:dyDescent="0.25">
      <c r="B3095" s="1">
        <v>45313</v>
      </c>
    </row>
    <row r="3096" spans="2:2" x14ac:dyDescent="0.25">
      <c r="B3096" s="1">
        <v>45314</v>
      </c>
    </row>
    <row r="3097" spans="2:2" x14ac:dyDescent="0.25">
      <c r="B3097" s="1">
        <v>45315</v>
      </c>
    </row>
    <row r="3098" spans="2:2" x14ac:dyDescent="0.25">
      <c r="B3098" s="1">
        <v>45316</v>
      </c>
    </row>
    <row r="3099" spans="2:2" x14ac:dyDescent="0.25">
      <c r="B3099" s="1">
        <v>45317</v>
      </c>
    </row>
    <row r="3100" spans="2:2" x14ac:dyDescent="0.25">
      <c r="B3100" s="1">
        <v>45318</v>
      </c>
    </row>
    <row r="3101" spans="2:2" x14ac:dyDescent="0.25">
      <c r="B3101" s="1">
        <v>45319</v>
      </c>
    </row>
    <row r="3102" spans="2:2" x14ac:dyDescent="0.25">
      <c r="B3102" s="1">
        <v>45320</v>
      </c>
    </row>
    <row r="3103" spans="2:2" x14ac:dyDescent="0.25">
      <c r="B3103" s="1">
        <v>45321</v>
      </c>
    </row>
    <row r="3104" spans="2:2" x14ac:dyDescent="0.25">
      <c r="B3104" s="1">
        <v>45322</v>
      </c>
    </row>
    <row r="3105" spans="2:2" x14ac:dyDescent="0.25">
      <c r="B3105" s="1">
        <v>45323</v>
      </c>
    </row>
    <row r="3106" spans="2:2" x14ac:dyDescent="0.25">
      <c r="B3106" s="1">
        <v>45324</v>
      </c>
    </row>
    <row r="3107" spans="2:2" x14ac:dyDescent="0.25">
      <c r="B3107" s="1">
        <v>45325</v>
      </c>
    </row>
    <row r="3108" spans="2:2" x14ac:dyDescent="0.25">
      <c r="B3108" s="1">
        <v>45326</v>
      </c>
    </row>
    <row r="3109" spans="2:2" x14ac:dyDescent="0.25">
      <c r="B3109" s="1">
        <v>45327</v>
      </c>
    </row>
    <row r="3110" spans="2:2" x14ac:dyDescent="0.25">
      <c r="B3110" s="1">
        <v>45328</v>
      </c>
    </row>
    <row r="3111" spans="2:2" x14ac:dyDescent="0.25">
      <c r="B3111" s="1">
        <v>45329</v>
      </c>
    </row>
    <row r="3112" spans="2:2" x14ac:dyDescent="0.25">
      <c r="B3112" s="1">
        <v>45330</v>
      </c>
    </row>
    <row r="3113" spans="2:2" x14ac:dyDescent="0.25">
      <c r="B3113" s="1">
        <v>45331</v>
      </c>
    </row>
    <row r="3114" spans="2:2" x14ac:dyDescent="0.25">
      <c r="B3114" s="1">
        <v>45332</v>
      </c>
    </row>
    <row r="3115" spans="2:2" x14ac:dyDescent="0.25">
      <c r="B3115" s="1">
        <v>45333</v>
      </c>
    </row>
    <row r="3116" spans="2:2" x14ac:dyDescent="0.25">
      <c r="B3116" s="1">
        <v>45334</v>
      </c>
    </row>
    <row r="3117" spans="2:2" x14ac:dyDescent="0.25">
      <c r="B3117" s="1">
        <v>45335</v>
      </c>
    </row>
    <row r="3118" spans="2:2" x14ac:dyDescent="0.25">
      <c r="B3118" s="1">
        <v>45336</v>
      </c>
    </row>
    <row r="3119" spans="2:2" x14ac:dyDescent="0.25">
      <c r="B3119" s="1">
        <v>45337</v>
      </c>
    </row>
    <row r="3120" spans="2:2" x14ac:dyDescent="0.25">
      <c r="B3120" s="1">
        <v>45338</v>
      </c>
    </row>
    <row r="3121" spans="2:2" x14ac:dyDescent="0.25">
      <c r="B3121" s="1">
        <v>45339</v>
      </c>
    </row>
    <row r="3122" spans="2:2" x14ac:dyDescent="0.25">
      <c r="B3122" s="1">
        <v>45340</v>
      </c>
    </row>
    <row r="3123" spans="2:2" x14ac:dyDescent="0.25">
      <c r="B3123" s="1">
        <v>45341</v>
      </c>
    </row>
    <row r="3124" spans="2:2" x14ac:dyDescent="0.25">
      <c r="B3124" s="1">
        <v>45342</v>
      </c>
    </row>
    <row r="3125" spans="2:2" x14ac:dyDescent="0.25">
      <c r="B3125" s="1">
        <v>45343</v>
      </c>
    </row>
    <row r="3126" spans="2:2" x14ac:dyDescent="0.25">
      <c r="B3126" s="1">
        <v>45344</v>
      </c>
    </row>
    <row r="3127" spans="2:2" x14ac:dyDescent="0.25">
      <c r="B3127" s="1">
        <v>45345</v>
      </c>
    </row>
    <row r="3128" spans="2:2" x14ac:dyDescent="0.25">
      <c r="B3128" s="1">
        <v>45346</v>
      </c>
    </row>
    <row r="3129" spans="2:2" x14ac:dyDescent="0.25">
      <c r="B3129" s="1">
        <v>45347</v>
      </c>
    </row>
    <row r="3130" spans="2:2" x14ac:dyDescent="0.25">
      <c r="B3130" s="1">
        <v>45348</v>
      </c>
    </row>
    <row r="3131" spans="2:2" x14ac:dyDescent="0.25">
      <c r="B3131" s="1">
        <v>45349</v>
      </c>
    </row>
    <row r="3132" spans="2:2" x14ac:dyDescent="0.25">
      <c r="B3132" s="1">
        <v>45350</v>
      </c>
    </row>
    <row r="3133" spans="2:2" x14ac:dyDescent="0.25">
      <c r="B3133" s="1">
        <v>45351</v>
      </c>
    </row>
    <row r="3134" spans="2:2" x14ac:dyDescent="0.25">
      <c r="B3134" s="1">
        <v>45352</v>
      </c>
    </row>
    <row r="3135" spans="2:2" x14ac:dyDescent="0.25">
      <c r="B3135" s="1">
        <v>45353</v>
      </c>
    </row>
    <row r="3136" spans="2:2" x14ac:dyDescent="0.25">
      <c r="B3136" s="1">
        <v>45354</v>
      </c>
    </row>
    <row r="3137" spans="2:2" x14ac:dyDescent="0.25">
      <c r="B3137" s="1">
        <v>45355</v>
      </c>
    </row>
    <row r="3138" spans="2:2" x14ac:dyDescent="0.25">
      <c r="B3138" s="1">
        <v>45356</v>
      </c>
    </row>
    <row r="3139" spans="2:2" x14ac:dyDescent="0.25">
      <c r="B3139" s="1">
        <v>45357</v>
      </c>
    </row>
    <row r="3140" spans="2:2" x14ac:dyDescent="0.25">
      <c r="B3140" s="1">
        <v>45358</v>
      </c>
    </row>
    <row r="3141" spans="2:2" x14ac:dyDescent="0.25">
      <c r="B3141" s="1">
        <v>45359</v>
      </c>
    </row>
    <row r="3142" spans="2:2" x14ac:dyDescent="0.25">
      <c r="B3142" s="1">
        <v>45360</v>
      </c>
    </row>
    <row r="3143" spans="2:2" x14ac:dyDescent="0.25">
      <c r="B3143" s="1">
        <v>45361</v>
      </c>
    </row>
    <row r="3144" spans="2:2" x14ac:dyDescent="0.25">
      <c r="B3144" s="1">
        <v>45362</v>
      </c>
    </row>
    <row r="3145" spans="2:2" x14ac:dyDescent="0.25">
      <c r="B3145" s="1">
        <v>45363</v>
      </c>
    </row>
    <row r="3146" spans="2:2" x14ac:dyDescent="0.25">
      <c r="B3146" s="1">
        <v>45364</v>
      </c>
    </row>
    <row r="3147" spans="2:2" x14ac:dyDescent="0.25">
      <c r="B3147" s="1">
        <v>45365</v>
      </c>
    </row>
    <row r="3148" spans="2:2" x14ac:dyDescent="0.25">
      <c r="B3148" s="1">
        <v>45366</v>
      </c>
    </row>
    <row r="3149" spans="2:2" x14ac:dyDescent="0.25">
      <c r="B3149" s="1">
        <v>45367</v>
      </c>
    </row>
    <row r="3150" spans="2:2" x14ac:dyDescent="0.25">
      <c r="B3150" s="1">
        <v>45368</v>
      </c>
    </row>
    <row r="3151" spans="2:2" x14ac:dyDescent="0.25">
      <c r="B3151" s="1">
        <v>45369</v>
      </c>
    </row>
    <row r="3152" spans="2:2" x14ac:dyDescent="0.25">
      <c r="B3152" s="1">
        <v>45370</v>
      </c>
    </row>
    <row r="3153" spans="2:2" x14ac:dyDescent="0.25">
      <c r="B3153" s="1">
        <v>45371</v>
      </c>
    </row>
    <row r="3154" spans="2:2" x14ac:dyDescent="0.25">
      <c r="B3154" s="1">
        <v>45372</v>
      </c>
    </row>
    <row r="3155" spans="2:2" x14ac:dyDescent="0.25">
      <c r="B3155" s="1">
        <v>45373</v>
      </c>
    </row>
    <row r="3156" spans="2:2" x14ac:dyDescent="0.25">
      <c r="B3156" s="1">
        <v>45374</v>
      </c>
    </row>
    <row r="3157" spans="2:2" x14ac:dyDescent="0.25">
      <c r="B3157" s="1">
        <v>45375</v>
      </c>
    </row>
    <row r="3158" spans="2:2" x14ac:dyDescent="0.25">
      <c r="B3158" s="1">
        <v>45376</v>
      </c>
    </row>
    <row r="3159" spans="2:2" x14ac:dyDescent="0.25">
      <c r="B3159" s="1">
        <v>45377</v>
      </c>
    </row>
    <row r="3160" spans="2:2" x14ac:dyDescent="0.25">
      <c r="B3160" s="1">
        <v>45378</v>
      </c>
    </row>
    <row r="3161" spans="2:2" x14ac:dyDescent="0.25">
      <c r="B3161" s="1">
        <v>45379</v>
      </c>
    </row>
    <row r="3162" spans="2:2" x14ac:dyDescent="0.25">
      <c r="B3162" s="1">
        <v>45380</v>
      </c>
    </row>
    <row r="3163" spans="2:2" x14ac:dyDescent="0.25">
      <c r="B3163" s="1">
        <v>45381</v>
      </c>
    </row>
    <row r="3164" spans="2:2" x14ac:dyDescent="0.25">
      <c r="B3164" s="1">
        <v>45382</v>
      </c>
    </row>
    <row r="3165" spans="2:2" x14ac:dyDescent="0.25">
      <c r="B3165" s="1">
        <v>45383</v>
      </c>
    </row>
    <row r="3166" spans="2:2" x14ac:dyDescent="0.25">
      <c r="B3166" s="1">
        <v>45384</v>
      </c>
    </row>
    <row r="3167" spans="2:2" x14ac:dyDescent="0.25">
      <c r="B3167" s="1">
        <v>45385</v>
      </c>
    </row>
    <row r="3168" spans="2:2" x14ac:dyDescent="0.25">
      <c r="B3168" s="1">
        <v>45386</v>
      </c>
    </row>
    <row r="3169" spans="2:2" x14ac:dyDescent="0.25">
      <c r="B3169" s="1">
        <v>45387</v>
      </c>
    </row>
    <row r="3170" spans="2:2" x14ac:dyDescent="0.25">
      <c r="B3170" s="1">
        <v>45388</v>
      </c>
    </row>
    <row r="3171" spans="2:2" x14ac:dyDescent="0.25">
      <c r="B3171" s="1">
        <v>45389</v>
      </c>
    </row>
    <row r="3172" spans="2:2" x14ac:dyDescent="0.25">
      <c r="B3172" s="1">
        <v>45390</v>
      </c>
    </row>
    <row r="3173" spans="2:2" x14ac:dyDescent="0.25">
      <c r="B3173" s="1">
        <v>45391</v>
      </c>
    </row>
    <row r="3174" spans="2:2" x14ac:dyDescent="0.25">
      <c r="B3174" s="1">
        <v>45392</v>
      </c>
    </row>
    <row r="3175" spans="2:2" x14ac:dyDescent="0.25">
      <c r="B3175" s="1">
        <v>45393</v>
      </c>
    </row>
    <row r="3176" spans="2:2" x14ac:dyDescent="0.25">
      <c r="B3176" s="1">
        <v>45394</v>
      </c>
    </row>
    <row r="3177" spans="2:2" x14ac:dyDescent="0.25">
      <c r="B3177" s="1">
        <v>45395</v>
      </c>
    </row>
    <row r="3178" spans="2:2" x14ac:dyDescent="0.25">
      <c r="B3178" s="1">
        <v>45396</v>
      </c>
    </row>
    <row r="3179" spans="2:2" x14ac:dyDescent="0.25">
      <c r="B3179" s="1">
        <v>45397</v>
      </c>
    </row>
    <row r="3180" spans="2:2" x14ac:dyDescent="0.25">
      <c r="B3180" s="1">
        <v>45398</v>
      </c>
    </row>
    <row r="3181" spans="2:2" x14ac:dyDescent="0.25">
      <c r="B3181" s="1">
        <v>45399</v>
      </c>
    </row>
    <row r="3182" spans="2:2" x14ac:dyDescent="0.25">
      <c r="B3182" s="1">
        <v>45400</v>
      </c>
    </row>
    <row r="3183" spans="2:2" x14ac:dyDescent="0.25">
      <c r="B3183" s="1">
        <v>45401</v>
      </c>
    </row>
    <row r="3184" spans="2:2" x14ac:dyDescent="0.25">
      <c r="B3184" s="1">
        <v>45402</v>
      </c>
    </row>
    <row r="3185" spans="2:2" x14ac:dyDescent="0.25">
      <c r="B3185" s="1">
        <v>45403</v>
      </c>
    </row>
    <row r="3186" spans="2:2" x14ac:dyDescent="0.25">
      <c r="B3186" s="1">
        <v>45404</v>
      </c>
    </row>
    <row r="3187" spans="2:2" x14ac:dyDescent="0.25">
      <c r="B3187" s="1">
        <v>45405</v>
      </c>
    </row>
    <row r="3188" spans="2:2" x14ac:dyDescent="0.25">
      <c r="B3188" s="1">
        <v>45406</v>
      </c>
    </row>
    <row r="3189" spans="2:2" x14ac:dyDescent="0.25">
      <c r="B3189" s="1">
        <v>45407</v>
      </c>
    </row>
    <row r="3190" spans="2:2" x14ac:dyDescent="0.25">
      <c r="B3190" s="1">
        <v>45408</v>
      </c>
    </row>
    <row r="3191" spans="2:2" x14ac:dyDescent="0.25">
      <c r="B3191" s="1">
        <v>45409</v>
      </c>
    </row>
    <row r="3192" spans="2:2" x14ac:dyDescent="0.25">
      <c r="B3192" s="1">
        <v>45410</v>
      </c>
    </row>
    <row r="3193" spans="2:2" x14ac:dyDescent="0.25">
      <c r="B3193" s="1">
        <v>45411</v>
      </c>
    </row>
    <row r="3194" spans="2:2" x14ac:dyDescent="0.25">
      <c r="B3194" s="1">
        <v>45412</v>
      </c>
    </row>
    <row r="3195" spans="2:2" x14ac:dyDescent="0.25">
      <c r="B3195" s="1">
        <v>45413</v>
      </c>
    </row>
    <row r="3196" spans="2:2" x14ac:dyDescent="0.25">
      <c r="B3196" s="1">
        <v>45414</v>
      </c>
    </row>
    <row r="3197" spans="2:2" x14ac:dyDescent="0.25">
      <c r="B3197" s="1">
        <v>45415</v>
      </c>
    </row>
    <row r="3198" spans="2:2" x14ac:dyDescent="0.25">
      <c r="B3198" s="1">
        <v>45416</v>
      </c>
    </row>
    <row r="3199" spans="2:2" x14ac:dyDescent="0.25">
      <c r="B3199" s="1">
        <v>45417</v>
      </c>
    </row>
    <row r="3200" spans="2:2" x14ac:dyDescent="0.25">
      <c r="B3200" s="1">
        <v>45418</v>
      </c>
    </row>
    <row r="3201" spans="2:2" x14ac:dyDescent="0.25">
      <c r="B3201" s="1">
        <v>45419</v>
      </c>
    </row>
    <row r="3202" spans="2:2" x14ac:dyDescent="0.25">
      <c r="B3202" s="1">
        <v>45420</v>
      </c>
    </row>
    <row r="3203" spans="2:2" x14ac:dyDescent="0.25">
      <c r="B3203" s="1">
        <v>45421</v>
      </c>
    </row>
    <row r="3204" spans="2:2" x14ac:dyDescent="0.25">
      <c r="B3204" s="1">
        <v>45422</v>
      </c>
    </row>
    <row r="3205" spans="2:2" x14ac:dyDescent="0.25">
      <c r="B3205" s="1">
        <v>45423</v>
      </c>
    </row>
    <row r="3206" spans="2:2" x14ac:dyDescent="0.25">
      <c r="B3206" s="1">
        <v>45424</v>
      </c>
    </row>
    <row r="3207" spans="2:2" x14ac:dyDescent="0.25">
      <c r="B3207" s="1">
        <v>45425</v>
      </c>
    </row>
    <row r="3208" spans="2:2" x14ac:dyDescent="0.25">
      <c r="B3208" s="1">
        <v>45426</v>
      </c>
    </row>
    <row r="3209" spans="2:2" x14ac:dyDescent="0.25">
      <c r="B3209" s="1">
        <v>45427</v>
      </c>
    </row>
    <row r="3210" spans="2:2" x14ac:dyDescent="0.25">
      <c r="B3210" s="1">
        <v>45428</v>
      </c>
    </row>
    <row r="3211" spans="2:2" x14ac:dyDescent="0.25">
      <c r="B3211" s="1">
        <v>45429</v>
      </c>
    </row>
    <row r="3212" spans="2:2" x14ac:dyDescent="0.25">
      <c r="B3212" s="1">
        <v>45430</v>
      </c>
    </row>
    <row r="3213" spans="2:2" x14ac:dyDescent="0.25">
      <c r="B3213" s="1">
        <v>45431</v>
      </c>
    </row>
    <row r="3214" spans="2:2" x14ac:dyDescent="0.25">
      <c r="B3214" s="1">
        <v>45432</v>
      </c>
    </row>
    <row r="3215" spans="2:2" x14ac:dyDescent="0.25">
      <c r="B3215" s="1">
        <v>45433</v>
      </c>
    </row>
    <row r="3216" spans="2:2" x14ac:dyDescent="0.25">
      <c r="B3216" s="1">
        <v>45434</v>
      </c>
    </row>
    <row r="3217" spans="2:2" x14ac:dyDescent="0.25">
      <c r="B3217" s="1">
        <v>45435</v>
      </c>
    </row>
    <row r="3218" spans="2:2" x14ac:dyDescent="0.25">
      <c r="B3218" s="1">
        <v>45436</v>
      </c>
    </row>
    <row r="3219" spans="2:2" x14ac:dyDescent="0.25">
      <c r="B3219" s="1">
        <v>45437</v>
      </c>
    </row>
    <row r="3220" spans="2:2" x14ac:dyDescent="0.25">
      <c r="B3220" s="1">
        <v>45438</v>
      </c>
    </row>
    <row r="3221" spans="2:2" x14ac:dyDescent="0.25">
      <c r="B3221" s="1">
        <v>45439</v>
      </c>
    </row>
    <row r="3222" spans="2:2" x14ac:dyDescent="0.25">
      <c r="B3222" s="1">
        <v>45440</v>
      </c>
    </row>
    <row r="3223" spans="2:2" x14ac:dyDescent="0.25">
      <c r="B3223" s="1">
        <v>45441</v>
      </c>
    </row>
    <row r="3224" spans="2:2" x14ac:dyDescent="0.25">
      <c r="B3224" s="1">
        <v>45442</v>
      </c>
    </row>
    <row r="3225" spans="2:2" x14ac:dyDescent="0.25">
      <c r="B3225" s="1">
        <v>45443</v>
      </c>
    </row>
    <row r="3226" spans="2:2" x14ac:dyDescent="0.25">
      <c r="B3226" s="1">
        <v>45444</v>
      </c>
    </row>
    <row r="3227" spans="2:2" x14ac:dyDescent="0.25">
      <c r="B3227" s="1">
        <v>45445</v>
      </c>
    </row>
    <row r="3228" spans="2:2" x14ac:dyDescent="0.25">
      <c r="B3228" s="1">
        <v>45446</v>
      </c>
    </row>
    <row r="3229" spans="2:2" x14ac:dyDescent="0.25">
      <c r="B3229" s="1">
        <v>45447</v>
      </c>
    </row>
    <row r="3230" spans="2:2" x14ac:dyDescent="0.25">
      <c r="B3230" s="1">
        <v>45448</v>
      </c>
    </row>
    <row r="3231" spans="2:2" x14ac:dyDescent="0.25">
      <c r="B3231" s="1">
        <v>45449</v>
      </c>
    </row>
    <row r="3232" spans="2:2" x14ac:dyDescent="0.25">
      <c r="B3232" s="1">
        <v>45450</v>
      </c>
    </row>
    <row r="3233" spans="2:2" x14ac:dyDescent="0.25">
      <c r="B3233" s="1">
        <v>45451</v>
      </c>
    </row>
    <row r="3234" spans="2:2" x14ac:dyDescent="0.25">
      <c r="B3234" s="1">
        <v>45452</v>
      </c>
    </row>
    <row r="3235" spans="2:2" x14ac:dyDescent="0.25">
      <c r="B3235" s="1">
        <v>45453</v>
      </c>
    </row>
    <row r="3236" spans="2:2" x14ac:dyDescent="0.25">
      <c r="B3236" s="1">
        <v>45454</v>
      </c>
    </row>
    <row r="3237" spans="2:2" x14ac:dyDescent="0.25">
      <c r="B3237" s="1">
        <v>45455</v>
      </c>
    </row>
    <row r="3238" spans="2:2" x14ac:dyDescent="0.25">
      <c r="B3238" s="1">
        <v>45456</v>
      </c>
    </row>
    <row r="3239" spans="2:2" x14ac:dyDescent="0.25">
      <c r="B3239" s="1">
        <v>45457</v>
      </c>
    </row>
    <row r="3240" spans="2:2" x14ac:dyDescent="0.25">
      <c r="B3240" s="1">
        <v>45458</v>
      </c>
    </row>
    <row r="3241" spans="2:2" x14ac:dyDescent="0.25">
      <c r="B3241" s="1">
        <v>45459</v>
      </c>
    </row>
    <row r="3242" spans="2:2" x14ac:dyDescent="0.25">
      <c r="B3242" s="1">
        <v>45460</v>
      </c>
    </row>
    <row r="3243" spans="2:2" x14ac:dyDescent="0.25">
      <c r="B3243" s="1">
        <v>45461</v>
      </c>
    </row>
    <row r="3244" spans="2:2" x14ac:dyDescent="0.25">
      <c r="B3244" s="1">
        <v>45462</v>
      </c>
    </row>
    <row r="3245" spans="2:2" x14ac:dyDescent="0.25">
      <c r="B3245" s="1">
        <v>45463</v>
      </c>
    </row>
    <row r="3246" spans="2:2" x14ac:dyDescent="0.25">
      <c r="B3246" s="1">
        <v>45464</v>
      </c>
    </row>
    <row r="3247" spans="2:2" x14ac:dyDescent="0.25">
      <c r="B3247" s="1">
        <v>45465</v>
      </c>
    </row>
    <row r="3248" spans="2:2" x14ac:dyDescent="0.25">
      <c r="B3248" s="1">
        <v>45466</v>
      </c>
    </row>
    <row r="3249" spans="2:2" x14ac:dyDescent="0.25">
      <c r="B3249" s="1">
        <v>45467</v>
      </c>
    </row>
    <row r="3250" spans="2:2" x14ac:dyDescent="0.25">
      <c r="B3250" s="1">
        <v>45468</v>
      </c>
    </row>
    <row r="3251" spans="2:2" x14ac:dyDescent="0.25">
      <c r="B3251" s="1">
        <v>45469</v>
      </c>
    </row>
    <row r="3252" spans="2:2" x14ac:dyDescent="0.25">
      <c r="B3252" s="1">
        <v>45470</v>
      </c>
    </row>
    <row r="3253" spans="2:2" x14ac:dyDescent="0.25">
      <c r="B3253" s="1">
        <v>45471</v>
      </c>
    </row>
    <row r="3254" spans="2:2" x14ac:dyDescent="0.25">
      <c r="B3254" s="1">
        <v>45472</v>
      </c>
    </row>
    <row r="3255" spans="2:2" x14ac:dyDescent="0.25">
      <c r="B3255" s="1">
        <v>45473</v>
      </c>
    </row>
    <row r="3256" spans="2:2" x14ac:dyDescent="0.25">
      <c r="B3256" s="1">
        <v>45474</v>
      </c>
    </row>
    <row r="3257" spans="2:2" x14ac:dyDescent="0.25">
      <c r="B3257" s="1">
        <v>45475</v>
      </c>
    </row>
    <row r="3258" spans="2:2" x14ac:dyDescent="0.25">
      <c r="B3258" s="1">
        <v>45476</v>
      </c>
    </row>
    <row r="3259" spans="2:2" x14ac:dyDescent="0.25">
      <c r="B3259" s="1">
        <v>45477</v>
      </c>
    </row>
    <row r="3260" spans="2:2" x14ac:dyDescent="0.25">
      <c r="B3260" s="1">
        <v>45478</v>
      </c>
    </row>
    <row r="3261" spans="2:2" x14ac:dyDescent="0.25">
      <c r="B3261" s="1">
        <v>45479</v>
      </c>
    </row>
    <row r="3262" spans="2:2" x14ac:dyDescent="0.25">
      <c r="B3262" s="1">
        <v>45480</v>
      </c>
    </row>
    <row r="3263" spans="2:2" x14ac:dyDescent="0.25">
      <c r="B3263" s="1">
        <v>45481</v>
      </c>
    </row>
    <row r="3264" spans="2:2" x14ac:dyDescent="0.25">
      <c r="B3264" s="1">
        <v>45482</v>
      </c>
    </row>
    <row r="3265" spans="2:2" x14ac:dyDescent="0.25">
      <c r="B3265" s="1">
        <v>45483</v>
      </c>
    </row>
    <row r="3266" spans="2:2" x14ac:dyDescent="0.25">
      <c r="B3266" s="1">
        <v>45484</v>
      </c>
    </row>
    <row r="3267" spans="2:2" x14ac:dyDescent="0.25">
      <c r="B3267" s="1">
        <v>45485</v>
      </c>
    </row>
    <row r="3268" spans="2:2" x14ac:dyDescent="0.25">
      <c r="B3268" s="1">
        <v>45486</v>
      </c>
    </row>
    <row r="3269" spans="2:2" x14ac:dyDescent="0.25">
      <c r="B3269" s="1">
        <v>45487</v>
      </c>
    </row>
    <row r="3270" spans="2:2" x14ac:dyDescent="0.25">
      <c r="B3270" s="1">
        <v>45488</v>
      </c>
    </row>
    <row r="3271" spans="2:2" x14ac:dyDescent="0.25">
      <c r="B3271" s="1">
        <v>45489</v>
      </c>
    </row>
    <row r="3272" spans="2:2" x14ac:dyDescent="0.25">
      <c r="B3272" s="1">
        <v>45490</v>
      </c>
    </row>
    <row r="3273" spans="2:2" x14ac:dyDescent="0.25">
      <c r="B3273" s="1">
        <v>45491</v>
      </c>
    </row>
    <row r="3274" spans="2:2" x14ac:dyDescent="0.25">
      <c r="B3274" s="1">
        <v>45492</v>
      </c>
    </row>
    <row r="3275" spans="2:2" x14ac:dyDescent="0.25">
      <c r="B3275" s="1">
        <v>45493</v>
      </c>
    </row>
    <row r="3276" spans="2:2" x14ac:dyDescent="0.25">
      <c r="B3276" s="1">
        <v>45494</v>
      </c>
    </row>
    <row r="3277" spans="2:2" x14ac:dyDescent="0.25">
      <c r="B3277" s="1">
        <v>45495</v>
      </c>
    </row>
    <row r="3278" spans="2:2" x14ac:dyDescent="0.25">
      <c r="B3278" s="1">
        <v>45496</v>
      </c>
    </row>
    <row r="3279" spans="2:2" x14ac:dyDescent="0.25">
      <c r="B3279" s="1">
        <v>45497</v>
      </c>
    </row>
    <row r="3280" spans="2:2" x14ac:dyDescent="0.25">
      <c r="B3280" s="1">
        <v>45498</v>
      </c>
    </row>
    <row r="3281" spans="2:2" x14ac:dyDescent="0.25">
      <c r="B3281" s="1">
        <v>45499</v>
      </c>
    </row>
    <row r="3282" spans="2:2" x14ac:dyDescent="0.25">
      <c r="B3282" s="1">
        <v>45500</v>
      </c>
    </row>
    <row r="3283" spans="2:2" x14ac:dyDescent="0.25">
      <c r="B3283" s="1">
        <v>45501</v>
      </c>
    </row>
    <row r="3284" spans="2:2" x14ac:dyDescent="0.25">
      <c r="B3284" s="1">
        <v>45502</v>
      </c>
    </row>
    <row r="3285" spans="2:2" x14ac:dyDescent="0.25">
      <c r="B3285" s="1">
        <v>45503</v>
      </c>
    </row>
    <row r="3286" spans="2:2" x14ac:dyDescent="0.25">
      <c r="B3286" s="1">
        <v>45504</v>
      </c>
    </row>
    <row r="3287" spans="2:2" x14ac:dyDescent="0.25">
      <c r="B3287" s="1">
        <v>45505</v>
      </c>
    </row>
    <row r="3288" spans="2:2" x14ac:dyDescent="0.25">
      <c r="B3288" s="1">
        <v>45506</v>
      </c>
    </row>
    <row r="3289" spans="2:2" x14ac:dyDescent="0.25">
      <c r="B3289" s="1">
        <v>45507</v>
      </c>
    </row>
    <row r="3290" spans="2:2" x14ac:dyDescent="0.25">
      <c r="B3290" s="1">
        <v>45508</v>
      </c>
    </row>
    <row r="3291" spans="2:2" x14ac:dyDescent="0.25">
      <c r="B3291" s="1">
        <v>45509</v>
      </c>
    </row>
    <row r="3292" spans="2:2" x14ac:dyDescent="0.25">
      <c r="B3292" s="1">
        <v>45510</v>
      </c>
    </row>
    <row r="3293" spans="2:2" x14ac:dyDescent="0.25">
      <c r="B3293" s="1">
        <v>45511</v>
      </c>
    </row>
    <row r="3294" spans="2:2" x14ac:dyDescent="0.25">
      <c r="B3294" s="1">
        <v>45512</v>
      </c>
    </row>
    <row r="3295" spans="2:2" x14ac:dyDescent="0.25">
      <c r="B3295" s="1">
        <v>45513</v>
      </c>
    </row>
    <row r="3296" spans="2:2" x14ac:dyDescent="0.25">
      <c r="B3296" s="1">
        <v>45514</v>
      </c>
    </row>
    <row r="3297" spans="2:2" x14ac:dyDescent="0.25">
      <c r="B3297" s="1">
        <v>45515</v>
      </c>
    </row>
    <row r="3298" spans="2:2" x14ac:dyDescent="0.25">
      <c r="B3298" s="1">
        <v>45516</v>
      </c>
    </row>
    <row r="3299" spans="2:2" x14ac:dyDescent="0.25">
      <c r="B3299" s="1">
        <v>45517</v>
      </c>
    </row>
    <row r="3300" spans="2:2" x14ac:dyDescent="0.25">
      <c r="B3300" s="1">
        <v>45518</v>
      </c>
    </row>
    <row r="3301" spans="2:2" x14ac:dyDescent="0.25">
      <c r="B3301" s="1">
        <v>45519</v>
      </c>
    </row>
    <row r="3302" spans="2:2" x14ac:dyDescent="0.25">
      <c r="B3302" s="1">
        <v>45520</v>
      </c>
    </row>
    <row r="3303" spans="2:2" x14ac:dyDescent="0.25">
      <c r="B3303" s="1">
        <v>45521</v>
      </c>
    </row>
    <row r="3304" spans="2:2" x14ac:dyDescent="0.25">
      <c r="B3304" s="1">
        <v>45522</v>
      </c>
    </row>
    <row r="3305" spans="2:2" x14ac:dyDescent="0.25">
      <c r="B3305" s="1">
        <v>45523</v>
      </c>
    </row>
    <row r="3306" spans="2:2" x14ac:dyDescent="0.25">
      <c r="B3306" s="1">
        <v>45524</v>
      </c>
    </row>
    <row r="3307" spans="2:2" x14ac:dyDescent="0.25">
      <c r="B3307" s="1">
        <v>45525</v>
      </c>
    </row>
    <row r="3308" spans="2:2" x14ac:dyDescent="0.25">
      <c r="B3308" s="1">
        <v>45526</v>
      </c>
    </row>
    <row r="3309" spans="2:2" x14ac:dyDescent="0.25">
      <c r="B3309" s="1">
        <v>45527</v>
      </c>
    </row>
    <row r="3310" spans="2:2" x14ac:dyDescent="0.25">
      <c r="B3310" s="1">
        <v>45528</v>
      </c>
    </row>
    <row r="3311" spans="2:2" x14ac:dyDescent="0.25">
      <c r="B3311" s="1">
        <v>45529</v>
      </c>
    </row>
    <row r="3312" spans="2:2" x14ac:dyDescent="0.25">
      <c r="B3312" s="1">
        <v>45530</v>
      </c>
    </row>
    <row r="3313" spans="2:2" x14ac:dyDescent="0.25">
      <c r="B3313" s="1">
        <v>45531</v>
      </c>
    </row>
    <row r="3314" spans="2:2" x14ac:dyDescent="0.25">
      <c r="B3314" s="1">
        <v>45532</v>
      </c>
    </row>
    <row r="3315" spans="2:2" x14ac:dyDescent="0.25">
      <c r="B3315" s="1">
        <v>45533</v>
      </c>
    </row>
    <row r="3316" spans="2:2" x14ac:dyDescent="0.25">
      <c r="B3316" s="1">
        <v>45534</v>
      </c>
    </row>
    <row r="3317" spans="2:2" x14ac:dyDescent="0.25">
      <c r="B3317" s="1">
        <v>45535</v>
      </c>
    </row>
    <row r="3318" spans="2:2" x14ac:dyDescent="0.25">
      <c r="B3318" s="1">
        <v>45536</v>
      </c>
    </row>
    <row r="3319" spans="2:2" x14ac:dyDescent="0.25">
      <c r="B3319" s="1">
        <v>45537</v>
      </c>
    </row>
    <row r="3320" spans="2:2" x14ac:dyDescent="0.25">
      <c r="B3320" s="1">
        <v>45538</v>
      </c>
    </row>
    <row r="3321" spans="2:2" x14ac:dyDescent="0.25">
      <c r="B3321" s="1">
        <v>45539</v>
      </c>
    </row>
    <row r="3322" spans="2:2" x14ac:dyDescent="0.25">
      <c r="B3322" s="1">
        <v>45540</v>
      </c>
    </row>
    <row r="3323" spans="2:2" x14ac:dyDescent="0.25">
      <c r="B3323" s="1">
        <v>45541</v>
      </c>
    </row>
    <row r="3324" spans="2:2" x14ac:dyDescent="0.25">
      <c r="B3324" s="1">
        <v>45542</v>
      </c>
    </row>
    <row r="3325" spans="2:2" x14ac:dyDescent="0.25">
      <c r="B3325" s="1">
        <v>45543</v>
      </c>
    </row>
    <row r="3326" spans="2:2" x14ac:dyDescent="0.25">
      <c r="B3326" s="1">
        <v>45544</v>
      </c>
    </row>
    <row r="3327" spans="2:2" x14ac:dyDescent="0.25">
      <c r="B3327" s="1">
        <v>45545</v>
      </c>
    </row>
    <row r="3328" spans="2:2" x14ac:dyDescent="0.25">
      <c r="B3328" s="1">
        <v>45546</v>
      </c>
    </row>
    <row r="3329" spans="2:2" x14ac:dyDescent="0.25">
      <c r="B3329" s="1">
        <v>45547</v>
      </c>
    </row>
    <row r="3330" spans="2:2" x14ac:dyDescent="0.25">
      <c r="B3330" s="1">
        <v>45548</v>
      </c>
    </row>
    <row r="3331" spans="2:2" x14ac:dyDescent="0.25">
      <c r="B3331" s="1">
        <v>45549</v>
      </c>
    </row>
    <row r="3332" spans="2:2" x14ac:dyDescent="0.25">
      <c r="B3332" s="1">
        <v>45550</v>
      </c>
    </row>
    <row r="3333" spans="2:2" x14ac:dyDescent="0.25">
      <c r="B3333" s="1">
        <v>45551</v>
      </c>
    </row>
    <row r="3334" spans="2:2" x14ac:dyDescent="0.25">
      <c r="B3334" s="1">
        <v>45552</v>
      </c>
    </row>
    <row r="3335" spans="2:2" x14ac:dyDescent="0.25">
      <c r="B3335" s="1">
        <v>45553</v>
      </c>
    </row>
    <row r="3336" spans="2:2" x14ac:dyDescent="0.25">
      <c r="B3336" s="1">
        <v>45554</v>
      </c>
    </row>
    <row r="3337" spans="2:2" x14ac:dyDescent="0.25">
      <c r="B3337" s="1">
        <v>45555</v>
      </c>
    </row>
    <row r="3338" spans="2:2" x14ac:dyDescent="0.25">
      <c r="B3338" s="1">
        <v>45556</v>
      </c>
    </row>
    <row r="3339" spans="2:2" x14ac:dyDescent="0.25">
      <c r="B3339" s="1">
        <v>45557</v>
      </c>
    </row>
    <row r="3340" spans="2:2" x14ac:dyDescent="0.25">
      <c r="B3340" s="1">
        <v>45558</v>
      </c>
    </row>
    <row r="3341" spans="2:2" x14ac:dyDescent="0.25">
      <c r="B3341" s="1">
        <v>45559</v>
      </c>
    </row>
    <row r="3342" spans="2:2" x14ac:dyDescent="0.25">
      <c r="B3342" s="1">
        <v>45560</v>
      </c>
    </row>
    <row r="3343" spans="2:2" x14ac:dyDescent="0.25">
      <c r="B3343" s="1">
        <v>45561</v>
      </c>
    </row>
    <row r="3344" spans="2:2" x14ac:dyDescent="0.25">
      <c r="B3344" s="1">
        <v>45562</v>
      </c>
    </row>
    <row r="3345" spans="2:2" x14ac:dyDescent="0.25">
      <c r="B3345" s="1">
        <v>45563</v>
      </c>
    </row>
    <row r="3346" spans="2:2" x14ac:dyDescent="0.25">
      <c r="B3346" s="1">
        <v>45564</v>
      </c>
    </row>
    <row r="3347" spans="2:2" x14ac:dyDescent="0.25">
      <c r="B3347" s="1">
        <v>45565</v>
      </c>
    </row>
    <row r="3348" spans="2:2" x14ac:dyDescent="0.25">
      <c r="B3348" s="1">
        <v>45566</v>
      </c>
    </row>
    <row r="3349" spans="2:2" x14ac:dyDescent="0.25">
      <c r="B3349" s="1">
        <v>45567</v>
      </c>
    </row>
    <row r="3350" spans="2:2" x14ac:dyDescent="0.25">
      <c r="B3350" s="1">
        <v>45568</v>
      </c>
    </row>
    <row r="3351" spans="2:2" x14ac:dyDescent="0.25">
      <c r="B3351" s="1">
        <v>45569</v>
      </c>
    </row>
    <row r="3352" spans="2:2" x14ac:dyDescent="0.25">
      <c r="B3352" s="1">
        <v>45570</v>
      </c>
    </row>
    <row r="3353" spans="2:2" x14ac:dyDescent="0.25">
      <c r="B3353" s="1">
        <v>45571</v>
      </c>
    </row>
    <row r="3354" spans="2:2" x14ac:dyDescent="0.25">
      <c r="B3354" s="1">
        <v>45572</v>
      </c>
    </row>
    <row r="3355" spans="2:2" x14ac:dyDescent="0.25">
      <c r="B3355" s="1">
        <v>45573</v>
      </c>
    </row>
    <row r="3356" spans="2:2" x14ac:dyDescent="0.25">
      <c r="B3356" s="1">
        <v>45574</v>
      </c>
    </row>
    <row r="3357" spans="2:2" x14ac:dyDescent="0.25">
      <c r="B3357" s="1">
        <v>45575</v>
      </c>
    </row>
    <row r="3358" spans="2:2" x14ac:dyDescent="0.25">
      <c r="B3358" s="1">
        <v>45576</v>
      </c>
    </row>
    <row r="3359" spans="2:2" x14ac:dyDescent="0.25">
      <c r="B3359" s="1">
        <v>45577</v>
      </c>
    </row>
    <row r="3360" spans="2:2" x14ac:dyDescent="0.25">
      <c r="B3360" s="1">
        <v>45578</v>
      </c>
    </row>
    <row r="3361" spans="2:2" x14ac:dyDescent="0.25">
      <c r="B3361" s="1">
        <v>45579</v>
      </c>
    </row>
    <row r="3362" spans="2:2" x14ac:dyDescent="0.25">
      <c r="B3362" s="1">
        <v>45580</v>
      </c>
    </row>
    <row r="3363" spans="2:2" x14ac:dyDescent="0.25">
      <c r="B3363" s="1">
        <v>45581</v>
      </c>
    </row>
    <row r="3364" spans="2:2" x14ac:dyDescent="0.25">
      <c r="B3364" s="1">
        <v>45582</v>
      </c>
    </row>
    <row r="3365" spans="2:2" x14ac:dyDescent="0.25">
      <c r="B3365" s="1">
        <v>45583</v>
      </c>
    </row>
    <row r="3366" spans="2:2" x14ac:dyDescent="0.25">
      <c r="B3366" s="1">
        <v>45584</v>
      </c>
    </row>
    <row r="3367" spans="2:2" x14ac:dyDescent="0.25">
      <c r="B3367" s="1">
        <v>45585</v>
      </c>
    </row>
    <row r="3368" spans="2:2" x14ac:dyDescent="0.25">
      <c r="B3368" s="1">
        <v>45586</v>
      </c>
    </row>
    <row r="3369" spans="2:2" x14ac:dyDescent="0.25">
      <c r="B3369" s="1">
        <v>45587</v>
      </c>
    </row>
    <row r="3370" spans="2:2" x14ac:dyDescent="0.25">
      <c r="B3370" s="1">
        <v>45588</v>
      </c>
    </row>
    <row r="3371" spans="2:2" x14ac:dyDescent="0.25">
      <c r="B3371" s="1">
        <v>45589</v>
      </c>
    </row>
    <row r="3372" spans="2:2" x14ac:dyDescent="0.25">
      <c r="B3372" s="1">
        <v>45590</v>
      </c>
    </row>
    <row r="3373" spans="2:2" x14ac:dyDescent="0.25">
      <c r="B3373" s="1">
        <v>45591</v>
      </c>
    </row>
    <row r="3374" spans="2:2" x14ac:dyDescent="0.25">
      <c r="B3374" s="1">
        <v>45592</v>
      </c>
    </row>
    <row r="3375" spans="2:2" x14ac:dyDescent="0.25">
      <c r="B3375" s="1">
        <v>45593</v>
      </c>
    </row>
    <row r="3376" spans="2:2" x14ac:dyDescent="0.25">
      <c r="B3376" s="1">
        <v>45594</v>
      </c>
    </row>
    <row r="3377" spans="2:2" x14ac:dyDescent="0.25">
      <c r="B3377" s="1">
        <v>45595</v>
      </c>
    </row>
    <row r="3378" spans="2:2" x14ac:dyDescent="0.25">
      <c r="B3378" s="1">
        <v>45596</v>
      </c>
    </row>
    <row r="3379" spans="2:2" x14ac:dyDescent="0.25">
      <c r="B3379" s="1">
        <v>45597</v>
      </c>
    </row>
    <row r="3380" spans="2:2" x14ac:dyDescent="0.25">
      <c r="B3380" s="1">
        <v>45598</v>
      </c>
    </row>
    <row r="3381" spans="2:2" x14ac:dyDescent="0.25">
      <c r="B3381" s="1">
        <v>45599</v>
      </c>
    </row>
    <row r="3382" spans="2:2" x14ac:dyDescent="0.25">
      <c r="B3382" s="1">
        <v>45600</v>
      </c>
    </row>
    <row r="3383" spans="2:2" x14ac:dyDescent="0.25">
      <c r="B3383" s="1">
        <v>45601</v>
      </c>
    </row>
    <row r="3384" spans="2:2" x14ac:dyDescent="0.25">
      <c r="B3384" s="1">
        <v>45602</v>
      </c>
    </row>
    <row r="3385" spans="2:2" x14ac:dyDescent="0.25">
      <c r="B3385" s="1">
        <v>45603</v>
      </c>
    </row>
    <row r="3386" spans="2:2" x14ac:dyDescent="0.25">
      <c r="B3386" s="1">
        <v>45604</v>
      </c>
    </row>
    <row r="3387" spans="2:2" x14ac:dyDescent="0.25">
      <c r="B3387" s="1">
        <v>45605</v>
      </c>
    </row>
    <row r="3388" spans="2:2" x14ac:dyDescent="0.25">
      <c r="B3388" s="1">
        <v>45606</v>
      </c>
    </row>
    <row r="3389" spans="2:2" x14ac:dyDescent="0.25">
      <c r="B3389" s="1">
        <v>45607</v>
      </c>
    </row>
    <row r="3390" spans="2:2" x14ac:dyDescent="0.25">
      <c r="B3390" s="1">
        <v>45608</v>
      </c>
    </row>
    <row r="3391" spans="2:2" x14ac:dyDescent="0.25">
      <c r="B3391" s="1">
        <v>45609</v>
      </c>
    </row>
    <row r="3392" spans="2:2" x14ac:dyDescent="0.25">
      <c r="B3392" s="1">
        <v>45610</v>
      </c>
    </row>
    <row r="3393" spans="2:2" x14ac:dyDescent="0.25">
      <c r="B3393" s="1">
        <v>45611</v>
      </c>
    </row>
    <row r="3394" spans="2:2" x14ac:dyDescent="0.25">
      <c r="B3394" s="1">
        <v>45612</v>
      </c>
    </row>
    <row r="3395" spans="2:2" x14ac:dyDescent="0.25">
      <c r="B3395" s="1">
        <v>45613</v>
      </c>
    </row>
    <row r="3396" spans="2:2" x14ac:dyDescent="0.25">
      <c r="B3396" s="1">
        <v>45614</v>
      </c>
    </row>
    <row r="3397" spans="2:2" x14ac:dyDescent="0.25">
      <c r="B3397" s="1">
        <v>45615</v>
      </c>
    </row>
    <row r="3398" spans="2:2" x14ac:dyDescent="0.25">
      <c r="B3398" s="1">
        <v>45616</v>
      </c>
    </row>
    <row r="3399" spans="2:2" x14ac:dyDescent="0.25">
      <c r="B3399" s="1">
        <v>45617</v>
      </c>
    </row>
    <row r="3400" spans="2:2" x14ac:dyDescent="0.25">
      <c r="B3400" s="1">
        <v>45618</v>
      </c>
    </row>
    <row r="3401" spans="2:2" x14ac:dyDescent="0.25">
      <c r="B3401" s="1">
        <v>45619</v>
      </c>
    </row>
    <row r="3402" spans="2:2" x14ac:dyDescent="0.25">
      <c r="B3402" s="1">
        <v>45620</v>
      </c>
    </row>
    <row r="3403" spans="2:2" x14ac:dyDescent="0.25">
      <c r="B3403" s="1">
        <v>45621</v>
      </c>
    </row>
    <row r="3404" spans="2:2" x14ac:dyDescent="0.25">
      <c r="B3404" s="1">
        <v>45622</v>
      </c>
    </row>
    <row r="3405" spans="2:2" x14ac:dyDescent="0.25">
      <c r="B3405" s="1">
        <v>45623</v>
      </c>
    </row>
    <row r="3406" spans="2:2" x14ac:dyDescent="0.25">
      <c r="B3406" s="1">
        <v>45624</v>
      </c>
    </row>
    <row r="3407" spans="2:2" x14ac:dyDescent="0.25">
      <c r="B3407" s="1">
        <v>45625</v>
      </c>
    </row>
    <row r="3408" spans="2:2" x14ac:dyDescent="0.25">
      <c r="B3408" s="1">
        <v>45626</v>
      </c>
    </row>
    <row r="3409" spans="2:2" x14ac:dyDescent="0.25">
      <c r="B3409" s="1">
        <v>45627</v>
      </c>
    </row>
    <row r="3410" spans="2:2" x14ac:dyDescent="0.25">
      <c r="B3410" s="1">
        <v>45628</v>
      </c>
    </row>
    <row r="3411" spans="2:2" x14ac:dyDescent="0.25">
      <c r="B3411" s="1">
        <v>45629</v>
      </c>
    </row>
    <row r="3412" spans="2:2" x14ac:dyDescent="0.25">
      <c r="B3412" s="1">
        <v>45630</v>
      </c>
    </row>
    <row r="3413" spans="2:2" x14ac:dyDescent="0.25">
      <c r="B3413" s="1">
        <v>45631</v>
      </c>
    </row>
    <row r="3414" spans="2:2" x14ac:dyDescent="0.25">
      <c r="B3414" s="1">
        <v>45632</v>
      </c>
    </row>
    <row r="3415" spans="2:2" x14ac:dyDescent="0.25">
      <c r="B3415" s="1">
        <v>45633</v>
      </c>
    </row>
    <row r="3416" spans="2:2" x14ac:dyDescent="0.25">
      <c r="B3416" s="1">
        <v>45634</v>
      </c>
    </row>
    <row r="3417" spans="2:2" x14ac:dyDescent="0.25">
      <c r="B3417" s="1">
        <v>45635</v>
      </c>
    </row>
    <row r="3418" spans="2:2" x14ac:dyDescent="0.25">
      <c r="B3418" s="1">
        <v>45636</v>
      </c>
    </row>
    <row r="3419" spans="2:2" x14ac:dyDescent="0.25">
      <c r="B3419" s="1">
        <v>45637</v>
      </c>
    </row>
    <row r="3420" spans="2:2" x14ac:dyDescent="0.25">
      <c r="B3420" s="1">
        <v>45638</v>
      </c>
    </row>
    <row r="3421" spans="2:2" x14ac:dyDescent="0.25">
      <c r="B3421" s="1">
        <v>45639</v>
      </c>
    </row>
    <row r="3422" spans="2:2" x14ac:dyDescent="0.25">
      <c r="B3422" s="1">
        <v>45640</v>
      </c>
    </row>
    <row r="3423" spans="2:2" x14ac:dyDescent="0.25">
      <c r="B3423" s="1">
        <v>45641</v>
      </c>
    </row>
    <row r="3424" spans="2:2" x14ac:dyDescent="0.25">
      <c r="B3424" s="1">
        <v>45642</v>
      </c>
    </row>
    <row r="3425" spans="2:2" x14ac:dyDescent="0.25">
      <c r="B3425" s="1">
        <v>45643</v>
      </c>
    </row>
    <row r="3426" spans="2:2" x14ac:dyDescent="0.25">
      <c r="B3426" s="1">
        <v>45644</v>
      </c>
    </row>
    <row r="3427" spans="2:2" x14ac:dyDescent="0.25">
      <c r="B3427" s="1">
        <v>45645</v>
      </c>
    </row>
    <row r="3428" spans="2:2" x14ac:dyDescent="0.25">
      <c r="B3428" s="1">
        <v>45646</v>
      </c>
    </row>
    <row r="3429" spans="2:2" x14ac:dyDescent="0.25">
      <c r="B3429" s="1">
        <v>45647</v>
      </c>
    </row>
    <row r="3430" spans="2:2" x14ac:dyDescent="0.25">
      <c r="B3430" s="1">
        <v>45648</v>
      </c>
    </row>
    <row r="3431" spans="2:2" x14ac:dyDescent="0.25">
      <c r="B3431" s="1">
        <v>45649</v>
      </c>
    </row>
    <row r="3432" spans="2:2" x14ac:dyDescent="0.25">
      <c r="B3432" s="1">
        <v>45650</v>
      </c>
    </row>
    <row r="3433" spans="2:2" x14ac:dyDescent="0.25">
      <c r="B3433" s="1">
        <v>45651</v>
      </c>
    </row>
    <row r="3434" spans="2:2" x14ac:dyDescent="0.25">
      <c r="B3434" s="1">
        <v>45652</v>
      </c>
    </row>
    <row r="3435" spans="2:2" x14ac:dyDescent="0.25">
      <c r="B3435" s="1">
        <v>45653</v>
      </c>
    </row>
    <row r="3436" spans="2:2" x14ac:dyDescent="0.25">
      <c r="B3436" s="1">
        <v>45654</v>
      </c>
    </row>
    <row r="3437" spans="2:2" x14ac:dyDescent="0.25">
      <c r="B3437" s="1">
        <v>45655</v>
      </c>
    </row>
    <row r="3438" spans="2:2" x14ac:dyDescent="0.25">
      <c r="B3438" s="1">
        <v>45656</v>
      </c>
    </row>
    <row r="3439" spans="2:2" x14ac:dyDescent="0.25">
      <c r="B3439" s="1">
        <v>45657</v>
      </c>
    </row>
    <row r="3440" spans="2:2" x14ac:dyDescent="0.25">
      <c r="B3440" s="1">
        <v>45658</v>
      </c>
    </row>
    <row r="3441" spans="2:2" x14ac:dyDescent="0.25">
      <c r="B3441" s="1">
        <v>45659</v>
      </c>
    </row>
    <row r="3442" spans="2:2" x14ac:dyDescent="0.25">
      <c r="B3442" s="1">
        <v>45660</v>
      </c>
    </row>
    <row r="3443" spans="2:2" x14ac:dyDescent="0.25">
      <c r="B3443" s="1">
        <v>45661</v>
      </c>
    </row>
    <row r="3444" spans="2:2" x14ac:dyDescent="0.25">
      <c r="B3444" s="1">
        <v>45662</v>
      </c>
    </row>
    <row r="3445" spans="2:2" x14ac:dyDescent="0.25">
      <c r="B3445" s="1">
        <v>45663</v>
      </c>
    </row>
    <row r="3446" spans="2:2" x14ac:dyDescent="0.25">
      <c r="B3446" s="1">
        <v>45664</v>
      </c>
    </row>
    <row r="3447" spans="2:2" x14ac:dyDescent="0.25">
      <c r="B3447" s="1">
        <v>45665</v>
      </c>
    </row>
    <row r="3448" spans="2:2" x14ac:dyDescent="0.25">
      <c r="B3448" s="1">
        <v>45666</v>
      </c>
    </row>
    <row r="3449" spans="2:2" x14ac:dyDescent="0.25">
      <c r="B3449" s="1">
        <v>45667</v>
      </c>
    </row>
    <row r="3450" spans="2:2" x14ac:dyDescent="0.25">
      <c r="B3450" s="1">
        <v>45668</v>
      </c>
    </row>
    <row r="3451" spans="2:2" x14ac:dyDescent="0.25">
      <c r="B3451" s="1">
        <v>45669</v>
      </c>
    </row>
    <row r="3452" spans="2:2" x14ac:dyDescent="0.25">
      <c r="B3452" s="1">
        <v>45670</v>
      </c>
    </row>
    <row r="3453" spans="2:2" x14ac:dyDescent="0.25">
      <c r="B3453" s="1">
        <v>45671</v>
      </c>
    </row>
    <row r="3454" spans="2:2" x14ac:dyDescent="0.25">
      <c r="B3454" s="1">
        <v>45672</v>
      </c>
    </row>
    <row r="3455" spans="2:2" x14ac:dyDescent="0.25">
      <c r="B3455" s="1">
        <v>45673</v>
      </c>
    </row>
    <row r="3456" spans="2:2" x14ac:dyDescent="0.25">
      <c r="B3456" s="1">
        <v>45674</v>
      </c>
    </row>
    <row r="3457" spans="2:2" x14ac:dyDescent="0.25">
      <c r="B3457" s="1">
        <v>45675</v>
      </c>
    </row>
    <row r="3458" spans="2:2" x14ac:dyDescent="0.25">
      <c r="B3458" s="1">
        <v>45676</v>
      </c>
    </row>
    <row r="3459" spans="2:2" x14ac:dyDescent="0.25">
      <c r="B3459" s="1">
        <v>45677</v>
      </c>
    </row>
    <row r="3460" spans="2:2" x14ac:dyDescent="0.25">
      <c r="B3460" s="1">
        <v>45678</v>
      </c>
    </row>
    <row r="3461" spans="2:2" x14ac:dyDescent="0.25">
      <c r="B3461" s="1">
        <v>45679</v>
      </c>
    </row>
    <row r="3462" spans="2:2" x14ac:dyDescent="0.25">
      <c r="B3462" s="1">
        <v>45680</v>
      </c>
    </row>
    <row r="3463" spans="2:2" x14ac:dyDescent="0.25">
      <c r="B3463" s="1">
        <v>45681</v>
      </c>
    </row>
    <row r="3464" spans="2:2" x14ac:dyDescent="0.25">
      <c r="B3464" s="1">
        <v>45682</v>
      </c>
    </row>
    <row r="3465" spans="2:2" x14ac:dyDescent="0.25">
      <c r="B3465" s="1">
        <v>45683</v>
      </c>
    </row>
    <row r="3466" spans="2:2" x14ac:dyDescent="0.25">
      <c r="B3466" s="1">
        <v>45684</v>
      </c>
    </row>
    <row r="3467" spans="2:2" x14ac:dyDescent="0.25">
      <c r="B3467" s="1">
        <v>45685</v>
      </c>
    </row>
    <row r="3468" spans="2:2" x14ac:dyDescent="0.25">
      <c r="B3468" s="1">
        <v>45686</v>
      </c>
    </row>
    <row r="3469" spans="2:2" x14ac:dyDescent="0.25">
      <c r="B3469" s="1">
        <v>45687</v>
      </c>
    </row>
    <row r="3470" spans="2:2" x14ac:dyDescent="0.25">
      <c r="B3470" s="1">
        <v>45688</v>
      </c>
    </row>
    <row r="3471" spans="2:2" x14ac:dyDescent="0.25">
      <c r="B3471" s="1">
        <v>45689</v>
      </c>
    </row>
    <row r="3472" spans="2:2" x14ac:dyDescent="0.25">
      <c r="B3472" s="1">
        <v>45690</v>
      </c>
    </row>
    <row r="3473" spans="2:2" x14ac:dyDescent="0.25">
      <c r="B3473" s="1">
        <v>45691</v>
      </c>
    </row>
    <row r="3474" spans="2:2" x14ac:dyDescent="0.25">
      <c r="B3474" s="1">
        <v>45692</v>
      </c>
    </row>
    <row r="3475" spans="2:2" x14ac:dyDescent="0.25">
      <c r="B3475" s="1">
        <v>45693</v>
      </c>
    </row>
    <row r="3476" spans="2:2" x14ac:dyDescent="0.25">
      <c r="B3476" s="1">
        <v>45694</v>
      </c>
    </row>
    <row r="3477" spans="2:2" x14ac:dyDescent="0.25">
      <c r="B3477" s="1">
        <v>45695</v>
      </c>
    </row>
    <row r="3478" spans="2:2" x14ac:dyDescent="0.25">
      <c r="B3478" s="1">
        <v>45696</v>
      </c>
    </row>
    <row r="3479" spans="2:2" x14ac:dyDescent="0.25">
      <c r="B3479" s="1">
        <v>45697</v>
      </c>
    </row>
    <row r="3480" spans="2:2" x14ac:dyDescent="0.25">
      <c r="B3480" s="1">
        <v>45698</v>
      </c>
    </row>
    <row r="3481" spans="2:2" x14ac:dyDescent="0.25">
      <c r="B3481" s="1">
        <v>45699</v>
      </c>
    </row>
    <row r="3482" spans="2:2" x14ac:dyDescent="0.25">
      <c r="B3482" s="1">
        <v>45700</v>
      </c>
    </row>
    <row r="3483" spans="2:2" x14ac:dyDescent="0.25">
      <c r="B3483" s="1">
        <v>45701</v>
      </c>
    </row>
    <row r="3484" spans="2:2" x14ac:dyDescent="0.25">
      <c r="B3484" s="1">
        <v>45702</v>
      </c>
    </row>
    <row r="3485" spans="2:2" x14ac:dyDescent="0.25">
      <c r="B3485" s="1">
        <v>45703</v>
      </c>
    </row>
    <row r="3486" spans="2:2" x14ac:dyDescent="0.25">
      <c r="B3486" s="1">
        <v>45704</v>
      </c>
    </row>
    <row r="3487" spans="2:2" x14ac:dyDescent="0.25">
      <c r="B3487" s="1">
        <v>45705</v>
      </c>
    </row>
    <row r="3488" spans="2:2" x14ac:dyDescent="0.25">
      <c r="B3488" s="1">
        <v>45706</v>
      </c>
    </row>
    <row r="3489" spans="2:2" x14ac:dyDescent="0.25">
      <c r="B3489" s="1">
        <v>45707</v>
      </c>
    </row>
    <row r="3490" spans="2:2" x14ac:dyDescent="0.25">
      <c r="B3490" s="1">
        <v>45708</v>
      </c>
    </row>
    <row r="3491" spans="2:2" x14ac:dyDescent="0.25">
      <c r="B3491" s="1">
        <v>45709</v>
      </c>
    </row>
    <row r="3492" spans="2:2" x14ac:dyDescent="0.25">
      <c r="B3492" s="1">
        <v>45710</v>
      </c>
    </row>
    <row r="3493" spans="2:2" x14ac:dyDescent="0.25">
      <c r="B3493" s="1">
        <v>45711</v>
      </c>
    </row>
    <row r="3494" spans="2:2" x14ac:dyDescent="0.25">
      <c r="B3494" s="1">
        <v>45712</v>
      </c>
    </row>
    <row r="3495" spans="2:2" x14ac:dyDescent="0.25">
      <c r="B3495" s="1">
        <v>45713</v>
      </c>
    </row>
    <row r="3496" spans="2:2" x14ac:dyDescent="0.25">
      <c r="B3496" s="1">
        <v>45714</v>
      </c>
    </row>
    <row r="3497" spans="2:2" x14ac:dyDescent="0.25">
      <c r="B3497" s="1">
        <v>45715</v>
      </c>
    </row>
    <row r="3498" spans="2:2" x14ac:dyDescent="0.25">
      <c r="B3498" s="1">
        <v>45716</v>
      </c>
    </row>
    <row r="3499" spans="2:2" x14ac:dyDescent="0.25">
      <c r="B3499" s="1">
        <v>45717</v>
      </c>
    </row>
    <row r="3500" spans="2:2" x14ac:dyDescent="0.25">
      <c r="B3500" s="1">
        <v>45718</v>
      </c>
    </row>
    <row r="3501" spans="2:2" x14ac:dyDescent="0.25">
      <c r="B3501" s="1">
        <v>45719</v>
      </c>
    </row>
    <row r="3502" spans="2:2" x14ac:dyDescent="0.25">
      <c r="B3502" s="1">
        <v>45720</v>
      </c>
    </row>
    <row r="3503" spans="2:2" x14ac:dyDescent="0.25">
      <c r="B3503" s="1">
        <v>45721</v>
      </c>
    </row>
    <row r="3504" spans="2:2" x14ac:dyDescent="0.25">
      <c r="B3504" s="1">
        <v>45722</v>
      </c>
    </row>
    <row r="3505" spans="2:2" x14ac:dyDescent="0.25">
      <c r="B3505" s="1">
        <v>45723</v>
      </c>
    </row>
    <row r="3506" spans="2:2" x14ac:dyDescent="0.25">
      <c r="B3506" s="1">
        <v>45724</v>
      </c>
    </row>
    <row r="3507" spans="2:2" x14ac:dyDescent="0.25">
      <c r="B3507" s="1">
        <v>45725</v>
      </c>
    </row>
    <row r="3508" spans="2:2" x14ac:dyDescent="0.25">
      <c r="B3508" s="1">
        <v>45726</v>
      </c>
    </row>
    <row r="3509" spans="2:2" x14ac:dyDescent="0.25">
      <c r="B3509" s="1">
        <v>45727</v>
      </c>
    </row>
    <row r="3510" spans="2:2" x14ac:dyDescent="0.25">
      <c r="B3510" s="1">
        <v>45728</v>
      </c>
    </row>
    <row r="3511" spans="2:2" x14ac:dyDescent="0.25">
      <c r="B3511" s="1">
        <v>45729</v>
      </c>
    </row>
    <row r="3512" spans="2:2" x14ac:dyDescent="0.25">
      <c r="B3512" s="1">
        <v>45730</v>
      </c>
    </row>
    <row r="3513" spans="2:2" x14ac:dyDescent="0.25">
      <c r="B3513" s="1">
        <v>45731</v>
      </c>
    </row>
    <row r="3514" spans="2:2" x14ac:dyDescent="0.25">
      <c r="B3514" s="1">
        <v>45732</v>
      </c>
    </row>
    <row r="3515" spans="2:2" x14ac:dyDescent="0.25">
      <c r="B3515" s="1">
        <v>45733</v>
      </c>
    </row>
    <row r="3516" spans="2:2" x14ac:dyDescent="0.25">
      <c r="B3516" s="1">
        <v>45734</v>
      </c>
    </row>
    <row r="3517" spans="2:2" x14ac:dyDescent="0.25">
      <c r="B3517" s="1">
        <v>45735</v>
      </c>
    </row>
    <row r="3518" spans="2:2" x14ac:dyDescent="0.25">
      <c r="B3518" s="1">
        <v>45736</v>
      </c>
    </row>
    <row r="3519" spans="2:2" x14ac:dyDescent="0.25">
      <c r="B3519" s="1">
        <v>45737</v>
      </c>
    </row>
    <row r="3520" spans="2:2" x14ac:dyDescent="0.25">
      <c r="B3520" s="1">
        <v>45738</v>
      </c>
    </row>
    <row r="3521" spans="2:2" x14ac:dyDescent="0.25">
      <c r="B3521" s="1">
        <v>45739</v>
      </c>
    </row>
    <row r="3522" spans="2:2" x14ac:dyDescent="0.25">
      <c r="B3522" s="1">
        <v>45740</v>
      </c>
    </row>
    <row r="3523" spans="2:2" x14ac:dyDescent="0.25">
      <c r="B3523" s="1">
        <v>45741</v>
      </c>
    </row>
    <row r="3524" spans="2:2" x14ac:dyDescent="0.25">
      <c r="B3524" s="1">
        <v>45742</v>
      </c>
    </row>
    <row r="3525" spans="2:2" x14ac:dyDescent="0.25">
      <c r="B3525" s="1">
        <v>45743</v>
      </c>
    </row>
    <row r="3526" spans="2:2" x14ac:dyDescent="0.25">
      <c r="B3526" s="1">
        <v>45744</v>
      </c>
    </row>
    <row r="3527" spans="2:2" x14ac:dyDescent="0.25">
      <c r="B3527" s="1">
        <v>45745</v>
      </c>
    </row>
    <row r="3528" spans="2:2" x14ac:dyDescent="0.25">
      <c r="B3528" s="1">
        <v>45746</v>
      </c>
    </row>
    <row r="3529" spans="2:2" x14ac:dyDescent="0.25">
      <c r="B3529" s="1">
        <v>45747</v>
      </c>
    </row>
    <row r="3530" spans="2:2" x14ac:dyDescent="0.25">
      <c r="B3530" s="1">
        <v>45748</v>
      </c>
    </row>
    <row r="3531" spans="2:2" x14ac:dyDescent="0.25">
      <c r="B3531" s="1">
        <v>45749</v>
      </c>
    </row>
    <row r="3532" spans="2:2" x14ac:dyDescent="0.25">
      <c r="B3532" s="1">
        <v>45750</v>
      </c>
    </row>
    <row r="3533" spans="2:2" x14ac:dyDescent="0.25">
      <c r="B3533" s="1">
        <v>45751</v>
      </c>
    </row>
    <row r="3534" spans="2:2" x14ac:dyDescent="0.25">
      <c r="B3534" s="1">
        <v>45752</v>
      </c>
    </row>
    <row r="3535" spans="2:2" x14ac:dyDescent="0.25">
      <c r="B3535" s="1">
        <v>45753</v>
      </c>
    </row>
    <row r="3536" spans="2:2" x14ac:dyDescent="0.25">
      <c r="B3536" s="1">
        <v>45754</v>
      </c>
    </row>
    <row r="3537" spans="2:2" x14ac:dyDescent="0.25">
      <c r="B3537" s="1">
        <v>45755</v>
      </c>
    </row>
    <row r="3538" spans="2:2" x14ac:dyDescent="0.25">
      <c r="B3538" s="1">
        <v>45756</v>
      </c>
    </row>
    <row r="3539" spans="2:2" x14ac:dyDescent="0.25">
      <c r="B3539" s="1">
        <v>45757</v>
      </c>
    </row>
    <row r="3540" spans="2:2" x14ac:dyDescent="0.25">
      <c r="B3540" s="1">
        <v>45758</v>
      </c>
    </row>
    <row r="3541" spans="2:2" x14ac:dyDescent="0.25">
      <c r="B3541" s="1">
        <v>45759</v>
      </c>
    </row>
    <row r="3542" spans="2:2" x14ac:dyDescent="0.25">
      <c r="B3542" s="1">
        <v>45760</v>
      </c>
    </row>
    <row r="3543" spans="2:2" x14ac:dyDescent="0.25">
      <c r="B3543" s="1">
        <v>45761</v>
      </c>
    </row>
    <row r="3544" spans="2:2" x14ac:dyDescent="0.25">
      <c r="B3544" s="1">
        <v>45762</v>
      </c>
    </row>
    <row r="3545" spans="2:2" x14ac:dyDescent="0.25">
      <c r="B3545" s="1">
        <v>45763</v>
      </c>
    </row>
    <row r="3546" spans="2:2" x14ac:dyDescent="0.25">
      <c r="B3546" s="1">
        <v>45764</v>
      </c>
    </row>
    <row r="3547" spans="2:2" x14ac:dyDescent="0.25">
      <c r="B3547" s="1">
        <v>45765</v>
      </c>
    </row>
    <row r="3548" spans="2:2" x14ac:dyDescent="0.25">
      <c r="B3548" s="1">
        <v>45766</v>
      </c>
    </row>
    <row r="3549" spans="2:2" x14ac:dyDescent="0.25">
      <c r="B3549" s="1">
        <v>45767</v>
      </c>
    </row>
    <row r="3550" spans="2:2" x14ac:dyDescent="0.25">
      <c r="B3550" s="1">
        <v>45768</v>
      </c>
    </row>
    <row r="3551" spans="2:2" x14ac:dyDescent="0.25">
      <c r="B3551" s="1">
        <v>45769</v>
      </c>
    </row>
    <row r="3552" spans="2:2" x14ac:dyDescent="0.25">
      <c r="B3552" s="1">
        <v>45770</v>
      </c>
    </row>
    <row r="3553" spans="2:2" x14ac:dyDescent="0.25">
      <c r="B3553" s="1">
        <v>45771</v>
      </c>
    </row>
    <row r="3554" spans="2:2" x14ac:dyDescent="0.25">
      <c r="B3554" s="1">
        <v>45772</v>
      </c>
    </row>
    <row r="3555" spans="2:2" x14ac:dyDescent="0.25">
      <c r="B3555" s="1">
        <v>45773</v>
      </c>
    </row>
    <row r="3556" spans="2:2" x14ac:dyDescent="0.25">
      <c r="B3556" s="1">
        <v>45774</v>
      </c>
    </row>
    <row r="3557" spans="2:2" x14ac:dyDescent="0.25">
      <c r="B3557" s="1">
        <v>45775</v>
      </c>
    </row>
    <row r="3558" spans="2:2" x14ac:dyDescent="0.25">
      <c r="B3558" s="1">
        <v>45776</v>
      </c>
    </row>
    <row r="3559" spans="2:2" x14ac:dyDescent="0.25">
      <c r="B3559" s="1">
        <v>45777</v>
      </c>
    </row>
    <row r="3560" spans="2:2" x14ac:dyDescent="0.25">
      <c r="B3560" s="1">
        <v>45778</v>
      </c>
    </row>
    <row r="3561" spans="2:2" x14ac:dyDescent="0.25">
      <c r="B3561" s="1">
        <v>45779</v>
      </c>
    </row>
    <row r="3562" spans="2:2" x14ac:dyDescent="0.25">
      <c r="B3562" s="1">
        <v>45780</v>
      </c>
    </row>
    <row r="3563" spans="2:2" x14ac:dyDescent="0.25">
      <c r="B3563" s="1">
        <v>45781</v>
      </c>
    </row>
    <row r="3564" spans="2:2" x14ac:dyDescent="0.25">
      <c r="B3564" s="1">
        <v>45782</v>
      </c>
    </row>
    <row r="3565" spans="2:2" x14ac:dyDescent="0.25">
      <c r="B3565" s="1">
        <v>45783</v>
      </c>
    </row>
    <row r="3566" spans="2:2" x14ac:dyDescent="0.25">
      <c r="B3566" s="1">
        <v>45784</v>
      </c>
    </row>
    <row r="3567" spans="2:2" x14ac:dyDescent="0.25">
      <c r="B3567" s="1">
        <v>45785</v>
      </c>
    </row>
    <row r="3568" spans="2:2" x14ac:dyDescent="0.25">
      <c r="B3568" s="1">
        <v>45786</v>
      </c>
    </row>
    <row r="3569" spans="2:2" x14ac:dyDescent="0.25">
      <c r="B3569" s="1">
        <v>45787</v>
      </c>
    </row>
    <row r="3570" spans="2:2" x14ac:dyDescent="0.25">
      <c r="B3570" s="1">
        <v>45788</v>
      </c>
    </row>
    <row r="3571" spans="2:2" x14ac:dyDescent="0.25">
      <c r="B3571" s="1">
        <v>45789</v>
      </c>
    </row>
    <row r="3572" spans="2:2" x14ac:dyDescent="0.25">
      <c r="B3572" s="1">
        <v>45790</v>
      </c>
    </row>
    <row r="3573" spans="2:2" x14ac:dyDescent="0.25">
      <c r="B3573" s="1">
        <v>45791</v>
      </c>
    </row>
    <row r="3574" spans="2:2" x14ac:dyDescent="0.25">
      <c r="B3574" s="1">
        <v>45792</v>
      </c>
    </row>
    <row r="3575" spans="2:2" x14ac:dyDescent="0.25">
      <c r="B3575" s="1">
        <v>45793</v>
      </c>
    </row>
    <row r="3576" spans="2:2" x14ac:dyDescent="0.25">
      <c r="B3576" s="1">
        <v>45794</v>
      </c>
    </row>
    <row r="3577" spans="2:2" x14ac:dyDescent="0.25">
      <c r="B3577" s="1">
        <v>45795</v>
      </c>
    </row>
    <row r="3578" spans="2:2" x14ac:dyDescent="0.25">
      <c r="B3578" s="1">
        <v>45796</v>
      </c>
    </row>
    <row r="3579" spans="2:2" x14ac:dyDescent="0.25">
      <c r="B3579" s="1">
        <v>45797</v>
      </c>
    </row>
    <row r="3580" spans="2:2" x14ac:dyDescent="0.25">
      <c r="B3580" s="1">
        <v>45798</v>
      </c>
    </row>
    <row r="3581" spans="2:2" x14ac:dyDescent="0.25">
      <c r="B3581" s="1">
        <v>45799</v>
      </c>
    </row>
    <row r="3582" spans="2:2" x14ac:dyDescent="0.25">
      <c r="B3582" s="1">
        <v>45800</v>
      </c>
    </row>
    <row r="3583" spans="2:2" x14ac:dyDescent="0.25">
      <c r="B3583" s="1">
        <v>45801</v>
      </c>
    </row>
    <row r="3584" spans="2:2" x14ac:dyDescent="0.25">
      <c r="B3584" s="1">
        <v>45802</v>
      </c>
    </row>
    <row r="3585" spans="2:2" x14ac:dyDescent="0.25">
      <c r="B3585" s="1">
        <v>45803</v>
      </c>
    </row>
    <row r="3586" spans="2:2" x14ac:dyDescent="0.25">
      <c r="B3586" s="1">
        <v>45804</v>
      </c>
    </row>
    <row r="3587" spans="2:2" x14ac:dyDescent="0.25">
      <c r="B3587" s="1">
        <v>45805</v>
      </c>
    </row>
    <row r="3588" spans="2:2" x14ac:dyDescent="0.25">
      <c r="B3588" s="1">
        <v>45806</v>
      </c>
    </row>
    <row r="3589" spans="2:2" x14ac:dyDescent="0.25">
      <c r="B3589" s="1">
        <v>45807</v>
      </c>
    </row>
    <row r="3590" spans="2:2" x14ac:dyDescent="0.25">
      <c r="B3590" s="1">
        <v>45808</v>
      </c>
    </row>
    <row r="3591" spans="2:2" x14ac:dyDescent="0.25">
      <c r="B3591" s="1">
        <v>45809</v>
      </c>
    </row>
    <row r="3592" spans="2:2" x14ac:dyDescent="0.25">
      <c r="B3592" s="1">
        <v>45810</v>
      </c>
    </row>
    <row r="3593" spans="2:2" x14ac:dyDescent="0.25">
      <c r="B3593" s="1">
        <v>45811</v>
      </c>
    </row>
    <row r="3594" spans="2:2" x14ac:dyDescent="0.25">
      <c r="B3594" s="1">
        <v>45812</v>
      </c>
    </row>
    <row r="3595" spans="2:2" x14ac:dyDescent="0.25">
      <c r="B3595" s="1">
        <v>45813</v>
      </c>
    </row>
    <row r="3596" spans="2:2" x14ac:dyDescent="0.25">
      <c r="B3596" s="1">
        <v>45814</v>
      </c>
    </row>
    <row r="3597" spans="2:2" x14ac:dyDescent="0.25">
      <c r="B3597" s="1">
        <v>45815</v>
      </c>
    </row>
    <row r="3598" spans="2:2" x14ac:dyDescent="0.25">
      <c r="B3598" s="1">
        <v>45816</v>
      </c>
    </row>
    <row r="3599" spans="2:2" x14ac:dyDescent="0.25">
      <c r="B3599" s="1">
        <v>45817</v>
      </c>
    </row>
    <row r="3600" spans="2:2" x14ac:dyDescent="0.25">
      <c r="B3600" s="1">
        <v>45818</v>
      </c>
    </row>
    <row r="3601" spans="2:2" x14ac:dyDescent="0.25">
      <c r="B3601" s="1">
        <v>45819</v>
      </c>
    </row>
    <row r="3602" spans="2:2" x14ac:dyDescent="0.25">
      <c r="B3602" s="1">
        <v>45820</v>
      </c>
    </row>
    <row r="3603" spans="2:2" x14ac:dyDescent="0.25">
      <c r="B3603" s="1">
        <v>45821</v>
      </c>
    </row>
    <row r="3604" spans="2:2" x14ac:dyDescent="0.25">
      <c r="B3604" s="1">
        <v>45822</v>
      </c>
    </row>
    <row r="3605" spans="2:2" x14ac:dyDescent="0.25">
      <c r="B3605" s="1">
        <v>45823</v>
      </c>
    </row>
    <row r="3606" spans="2:2" x14ac:dyDescent="0.25">
      <c r="B3606" s="1">
        <v>45824</v>
      </c>
    </row>
    <row r="3607" spans="2:2" x14ac:dyDescent="0.25">
      <c r="B3607" s="1">
        <v>45825</v>
      </c>
    </row>
    <row r="3608" spans="2:2" x14ac:dyDescent="0.25">
      <c r="B3608" s="1">
        <v>45826</v>
      </c>
    </row>
    <row r="3609" spans="2:2" x14ac:dyDescent="0.25">
      <c r="B3609" s="1">
        <v>45827</v>
      </c>
    </row>
    <row r="3610" spans="2:2" x14ac:dyDescent="0.25">
      <c r="B3610" s="1">
        <v>45828</v>
      </c>
    </row>
    <row r="3611" spans="2:2" x14ac:dyDescent="0.25">
      <c r="B3611" s="1">
        <v>45829</v>
      </c>
    </row>
    <row r="3612" spans="2:2" x14ac:dyDescent="0.25">
      <c r="B3612" s="1">
        <v>45830</v>
      </c>
    </row>
    <row r="3613" spans="2:2" x14ac:dyDescent="0.25">
      <c r="B3613" s="1">
        <v>45831</v>
      </c>
    </row>
    <row r="3614" spans="2:2" x14ac:dyDescent="0.25">
      <c r="B3614" s="1">
        <v>45832</v>
      </c>
    </row>
    <row r="3615" spans="2:2" x14ac:dyDescent="0.25">
      <c r="B3615" s="1">
        <v>45833</v>
      </c>
    </row>
    <row r="3616" spans="2:2" x14ac:dyDescent="0.25">
      <c r="B3616" s="1">
        <v>45834</v>
      </c>
    </row>
    <row r="3617" spans="2:2" x14ac:dyDescent="0.25">
      <c r="B3617" s="1">
        <v>45835</v>
      </c>
    </row>
    <row r="3618" spans="2:2" x14ac:dyDescent="0.25">
      <c r="B3618" s="1">
        <v>45836</v>
      </c>
    </row>
    <row r="3619" spans="2:2" x14ac:dyDescent="0.25">
      <c r="B3619" s="1">
        <v>45837</v>
      </c>
    </row>
    <row r="3620" spans="2:2" x14ac:dyDescent="0.25">
      <c r="B3620" s="1">
        <v>45838</v>
      </c>
    </row>
    <row r="3621" spans="2:2" x14ac:dyDescent="0.25">
      <c r="B3621" s="1">
        <v>45839</v>
      </c>
    </row>
    <row r="3622" spans="2:2" x14ac:dyDescent="0.25">
      <c r="B3622" s="1">
        <v>45840</v>
      </c>
    </row>
    <row r="3623" spans="2:2" x14ac:dyDescent="0.25">
      <c r="B3623" s="1">
        <v>45841</v>
      </c>
    </row>
    <row r="3624" spans="2:2" x14ac:dyDescent="0.25">
      <c r="B3624" s="1">
        <v>45842</v>
      </c>
    </row>
    <row r="3625" spans="2:2" x14ac:dyDescent="0.25">
      <c r="B3625" s="1">
        <v>45843</v>
      </c>
    </row>
    <row r="3626" spans="2:2" x14ac:dyDescent="0.25">
      <c r="B3626" s="1">
        <v>45844</v>
      </c>
    </row>
    <row r="3627" spans="2:2" x14ac:dyDescent="0.25">
      <c r="B3627" s="1">
        <v>45845</v>
      </c>
    </row>
    <row r="3628" spans="2:2" x14ac:dyDescent="0.25">
      <c r="B3628" s="1">
        <v>45846</v>
      </c>
    </row>
    <row r="3629" spans="2:2" x14ac:dyDescent="0.25">
      <c r="B3629" s="1">
        <v>45847</v>
      </c>
    </row>
    <row r="3630" spans="2:2" x14ac:dyDescent="0.25">
      <c r="B3630" s="1">
        <v>45848</v>
      </c>
    </row>
    <row r="3631" spans="2:2" x14ac:dyDescent="0.25">
      <c r="B3631" s="1">
        <v>45849</v>
      </c>
    </row>
    <row r="3632" spans="2:2" x14ac:dyDescent="0.25">
      <c r="B3632" s="1">
        <v>45850</v>
      </c>
    </row>
    <row r="3633" spans="2:2" x14ac:dyDescent="0.25">
      <c r="B3633" s="1">
        <v>45851</v>
      </c>
    </row>
    <row r="3634" spans="2:2" x14ac:dyDescent="0.25">
      <c r="B3634" s="1">
        <v>45852</v>
      </c>
    </row>
    <row r="3635" spans="2:2" x14ac:dyDescent="0.25">
      <c r="B3635" s="1">
        <v>45853</v>
      </c>
    </row>
    <row r="3636" spans="2:2" x14ac:dyDescent="0.25">
      <c r="B3636" s="1">
        <v>45854</v>
      </c>
    </row>
    <row r="3637" spans="2:2" x14ac:dyDescent="0.25">
      <c r="B3637" s="1">
        <v>45855</v>
      </c>
    </row>
    <row r="3638" spans="2:2" x14ac:dyDescent="0.25">
      <c r="B3638" s="1">
        <v>45856</v>
      </c>
    </row>
    <row r="3639" spans="2:2" x14ac:dyDescent="0.25">
      <c r="B3639" s="1">
        <v>45857</v>
      </c>
    </row>
    <row r="3640" spans="2:2" x14ac:dyDescent="0.25">
      <c r="B3640" s="1">
        <v>45858</v>
      </c>
    </row>
    <row r="3641" spans="2:2" x14ac:dyDescent="0.25">
      <c r="B3641" s="1">
        <v>45859</v>
      </c>
    </row>
    <row r="3642" spans="2:2" x14ac:dyDescent="0.25">
      <c r="B3642" s="1">
        <v>45860</v>
      </c>
    </row>
    <row r="3643" spans="2:2" x14ac:dyDescent="0.25">
      <c r="B3643" s="1">
        <v>45861</v>
      </c>
    </row>
    <row r="3644" spans="2:2" x14ac:dyDescent="0.25">
      <c r="B3644" s="1">
        <v>45862</v>
      </c>
    </row>
    <row r="3645" spans="2:2" x14ac:dyDescent="0.25">
      <c r="B3645" s="1">
        <v>45863</v>
      </c>
    </row>
    <row r="3646" spans="2:2" x14ac:dyDescent="0.25">
      <c r="B3646" s="1">
        <v>45864</v>
      </c>
    </row>
    <row r="3647" spans="2:2" x14ac:dyDescent="0.25">
      <c r="B3647" s="1">
        <v>45865</v>
      </c>
    </row>
    <row r="3648" spans="2:2" x14ac:dyDescent="0.25">
      <c r="B3648" s="1">
        <v>45866</v>
      </c>
    </row>
    <row r="3649" spans="2:2" x14ac:dyDescent="0.25">
      <c r="B3649" s="1">
        <v>45867</v>
      </c>
    </row>
    <row r="3650" spans="2:2" x14ac:dyDescent="0.25">
      <c r="B3650" s="1">
        <v>45868</v>
      </c>
    </row>
    <row r="3651" spans="2:2" x14ac:dyDescent="0.25">
      <c r="B3651" s="1">
        <v>45869</v>
      </c>
    </row>
    <row r="3652" spans="2:2" x14ac:dyDescent="0.25">
      <c r="B3652" s="1">
        <v>45870</v>
      </c>
    </row>
    <row r="3653" spans="2:2" x14ac:dyDescent="0.25">
      <c r="B3653" s="1">
        <v>45871</v>
      </c>
    </row>
    <row r="3654" spans="2:2" x14ac:dyDescent="0.25">
      <c r="B3654" s="1">
        <v>45872</v>
      </c>
    </row>
    <row r="3655" spans="2:2" x14ac:dyDescent="0.25">
      <c r="B3655" s="1">
        <v>45873</v>
      </c>
    </row>
    <row r="3656" spans="2:2" x14ac:dyDescent="0.25">
      <c r="B3656" s="1">
        <v>45874</v>
      </c>
    </row>
    <row r="3657" spans="2:2" x14ac:dyDescent="0.25">
      <c r="B3657" s="1">
        <v>45875</v>
      </c>
    </row>
    <row r="3658" spans="2:2" x14ac:dyDescent="0.25">
      <c r="B3658" s="1">
        <v>45876</v>
      </c>
    </row>
    <row r="3659" spans="2:2" x14ac:dyDescent="0.25">
      <c r="B3659" s="1">
        <v>45877</v>
      </c>
    </row>
    <row r="3660" spans="2:2" x14ac:dyDescent="0.25">
      <c r="B3660" s="1">
        <v>45878</v>
      </c>
    </row>
    <row r="3661" spans="2:2" x14ac:dyDescent="0.25">
      <c r="B3661" s="1">
        <v>45879</v>
      </c>
    </row>
    <row r="3662" spans="2:2" x14ac:dyDescent="0.25">
      <c r="B3662" s="1">
        <v>45880</v>
      </c>
    </row>
    <row r="3663" spans="2:2" x14ac:dyDescent="0.25">
      <c r="B3663" s="1">
        <v>45881</v>
      </c>
    </row>
    <row r="3664" spans="2:2" x14ac:dyDescent="0.25">
      <c r="B3664" s="1">
        <v>45882</v>
      </c>
    </row>
    <row r="3665" spans="2:2" x14ac:dyDescent="0.25">
      <c r="B3665" s="1">
        <v>45883</v>
      </c>
    </row>
    <row r="3666" spans="2:2" x14ac:dyDescent="0.25">
      <c r="B3666" s="1">
        <v>45884</v>
      </c>
    </row>
    <row r="3667" spans="2:2" x14ac:dyDescent="0.25">
      <c r="B3667" s="1">
        <v>45885</v>
      </c>
    </row>
    <row r="3668" spans="2:2" x14ac:dyDescent="0.25">
      <c r="B3668" s="1">
        <v>45886</v>
      </c>
    </row>
    <row r="3669" spans="2:2" x14ac:dyDescent="0.25">
      <c r="B3669" s="1">
        <v>45887</v>
      </c>
    </row>
    <row r="3670" spans="2:2" x14ac:dyDescent="0.25">
      <c r="B3670" s="1">
        <v>45888</v>
      </c>
    </row>
    <row r="3671" spans="2:2" x14ac:dyDescent="0.25">
      <c r="B3671" s="1">
        <v>45889</v>
      </c>
    </row>
    <row r="3672" spans="2:2" x14ac:dyDescent="0.25">
      <c r="B3672" s="1">
        <v>45890</v>
      </c>
    </row>
    <row r="3673" spans="2:2" x14ac:dyDescent="0.25">
      <c r="B3673" s="1">
        <v>45891</v>
      </c>
    </row>
    <row r="3674" spans="2:2" x14ac:dyDescent="0.25">
      <c r="B3674" s="1">
        <v>45892</v>
      </c>
    </row>
    <row r="3675" spans="2:2" x14ac:dyDescent="0.25">
      <c r="B3675" s="1">
        <v>45893</v>
      </c>
    </row>
    <row r="3676" spans="2:2" x14ac:dyDescent="0.25">
      <c r="B3676" s="1">
        <v>45894</v>
      </c>
    </row>
    <row r="3677" spans="2:2" x14ac:dyDescent="0.25">
      <c r="B3677" s="1">
        <v>45895</v>
      </c>
    </row>
    <row r="3678" spans="2:2" x14ac:dyDescent="0.25">
      <c r="B3678" s="1">
        <v>45896</v>
      </c>
    </row>
    <row r="3679" spans="2:2" x14ac:dyDescent="0.25">
      <c r="B3679" s="1">
        <v>45897</v>
      </c>
    </row>
    <row r="3680" spans="2:2" x14ac:dyDescent="0.25">
      <c r="B3680" s="1">
        <v>45898</v>
      </c>
    </row>
    <row r="3681" spans="2:2" x14ac:dyDescent="0.25">
      <c r="B3681" s="1">
        <v>45899</v>
      </c>
    </row>
    <row r="3682" spans="2:2" x14ac:dyDescent="0.25">
      <c r="B3682" s="1">
        <v>45900</v>
      </c>
    </row>
    <row r="3683" spans="2:2" x14ac:dyDescent="0.25">
      <c r="B3683" s="1">
        <v>45901</v>
      </c>
    </row>
    <row r="3684" spans="2:2" x14ac:dyDescent="0.25">
      <c r="B3684" s="1">
        <v>45902</v>
      </c>
    </row>
    <row r="3685" spans="2:2" x14ac:dyDescent="0.25">
      <c r="B3685" s="1">
        <v>45903</v>
      </c>
    </row>
    <row r="3686" spans="2:2" x14ac:dyDescent="0.25">
      <c r="B3686" s="1">
        <v>45904</v>
      </c>
    </row>
    <row r="3687" spans="2:2" x14ac:dyDescent="0.25">
      <c r="B3687" s="1">
        <v>45905</v>
      </c>
    </row>
    <row r="3688" spans="2:2" x14ac:dyDescent="0.25">
      <c r="B3688" s="1">
        <v>45906</v>
      </c>
    </row>
    <row r="3689" spans="2:2" x14ac:dyDescent="0.25">
      <c r="B3689" s="1">
        <v>45907</v>
      </c>
    </row>
    <row r="3690" spans="2:2" x14ac:dyDescent="0.25">
      <c r="B3690" s="1">
        <v>45908</v>
      </c>
    </row>
    <row r="3691" spans="2:2" x14ac:dyDescent="0.25">
      <c r="B3691" s="1">
        <v>45909</v>
      </c>
    </row>
    <row r="3692" spans="2:2" x14ac:dyDescent="0.25">
      <c r="B3692" s="1">
        <v>45910</v>
      </c>
    </row>
    <row r="3693" spans="2:2" x14ac:dyDescent="0.25">
      <c r="B3693" s="1">
        <v>45911</v>
      </c>
    </row>
    <row r="3694" spans="2:2" x14ac:dyDescent="0.25">
      <c r="B3694" s="1">
        <v>45912</v>
      </c>
    </row>
    <row r="3695" spans="2:2" x14ac:dyDescent="0.25">
      <c r="B3695" s="1">
        <v>45913</v>
      </c>
    </row>
    <row r="3696" spans="2:2" x14ac:dyDescent="0.25">
      <c r="B3696" s="1">
        <v>45914</v>
      </c>
    </row>
    <row r="3697" spans="2:2" x14ac:dyDescent="0.25">
      <c r="B3697" s="1">
        <v>45915</v>
      </c>
    </row>
    <row r="3698" spans="2:2" x14ac:dyDescent="0.25">
      <c r="B3698" s="1">
        <v>45916</v>
      </c>
    </row>
    <row r="3699" spans="2:2" x14ac:dyDescent="0.25">
      <c r="B3699" s="1">
        <v>45917</v>
      </c>
    </row>
    <row r="3700" spans="2:2" x14ac:dyDescent="0.25">
      <c r="B3700" s="1">
        <v>45918</v>
      </c>
    </row>
    <row r="3701" spans="2:2" x14ac:dyDescent="0.25">
      <c r="B3701" s="1">
        <v>45919</v>
      </c>
    </row>
    <row r="3702" spans="2:2" x14ac:dyDescent="0.25">
      <c r="B3702" s="1">
        <v>45920</v>
      </c>
    </row>
    <row r="3703" spans="2:2" x14ac:dyDescent="0.25">
      <c r="B3703" s="1">
        <v>45921</v>
      </c>
    </row>
    <row r="3704" spans="2:2" x14ac:dyDescent="0.25">
      <c r="B3704" s="1">
        <v>45922</v>
      </c>
    </row>
    <row r="3705" spans="2:2" x14ac:dyDescent="0.25">
      <c r="B3705" s="1">
        <v>45923</v>
      </c>
    </row>
    <row r="3706" spans="2:2" x14ac:dyDescent="0.25">
      <c r="B3706" s="1">
        <v>45924</v>
      </c>
    </row>
    <row r="3707" spans="2:2" x14ac:dyDescent="0.25">
      <c r="B3707" s="1">
        <v>45925</v>
      </c>
    </row>
    <row r="3708" spans="2:2" x14ac:dyDescent="0.25">
      <c r="B3708" s="1">
        <v>45926</v>
      </c>
    </row>
    <row r="3709" spans="2:2" x14ac:dyDescent="0.25">
      <c r="B3709" s="1">
        <v>45927</v>
      </c>
    </row>
    <row r="3710" spans="2:2" x14ac:dyDescent="0.25">
      <c r="B3710" s="1">
        <v>45928</v>
      </c>
    </row>
    <row r="3711" spans="2:2" x14ac:dyDescent="0.25">
      <c r="B3711" s="1">
        <v>45929</v>
      </c>
    </row>
    <row r="3712" spans="2:2" x14ac:dyDescent="0.25">
      <c r="B3712" s="1">
        <v>45930</v>
      </c>
    </row>
    <row r="3713" spans="2:2" x14ac:dyDescent="0.25">
      <c r="B3713" s="1">
        <v>45931</v>
      </c>
    </row>
    <row r="3714" spans="2:2" x14ac:dyDescent="0.25">
      <c r="B3714" s="1">
        <v>45932</v>
      </c>
    </row>
    <row r="3715" spans="2:2" x14ac:dyDescent="0.25">
      <c r="B3715" s="1">
        <v>45933</v>
      </c>
    </row>
    <row r="3716" spans="2:2" x14ac:dyDescent="0.25">
      <c r="B3716" s="1">
        <v>45934</v>
      </c>
    </row>
    <row r="3717" spans="2:2" x14ac:dyDescent="0.25">
      <c r="B3717" s="1">
        <v>45935</v>
      </c>
    </row>
    <row r="3718" spans="2:2" x14ac:dyDescent="0.25">
      <c r="B3718" s="1">
        <v>45936</v>
      </c>
    </row>
    <row r="3719" spans="2:2" x14ac:dyDescent="0.25">
      <c r="B3719" s="1">
        <v>45937</v>
      </c>
    </row>
    <row r="3720" spans="2:2" x14ac:dyDescent="0.25">
      <c r="B3720" s="1">
        <v>45938</v>
      </c>
    </row>
    <row r="3721" spans="2:2" x14ac:dyDescent="0.25">
      <c r="B3721" s="1">
        <v>45939</v>
      </c>
    </row>
    <row r="3722" spans="2:2" x14ac:dyDescent="0.25">
      <c r="B3722" s="1">
        <v>45940</v>
      </c>
    </row>
    <row r="3723" spans="2:2" x14ac:dyDescent="0.25">
      <c r="B3723" s="1">
        <v>45941</v>
      </c>
    </row>
    <row r="3724" spans="2:2" x14ac:dyDescent="0.25">
      <c r="B3724" s="1">
        <v>45942</v>
      </c>
    </row>
    <row r="3725" spans="2:2" x14ac:dyDescent="0.25">
      <c r="B3725" s="1">
        <v>45943</v>
      </c>
    </row>
    <row r="3726" spans="2:2" x14ac:dyDescent="0.25">
      <c r="B3726" s="1">
        <v>45944</v>
      </c>
    </row>
    <row r="3727" spans="2:2" x14ac:dyDescent="0.25">
      <c r="B3727" s="1">
        <v>45945</v>
      </c>
    </row>
    <row r="3728" spans="2:2" x14ac:dyDescent="0.25">
      <c r="B3728" s="1">
        <v>45946</v>
      </c>
    </row>
    <row r="3729" spans="2:2" x14ac:dyDescent="0.25">
      <c r="B3729" s="1">
        <v>45947</v>
      </c>
    </row>
    <row r="3730" spans="2:2" x14ac:dyDescent="0.25">
      <c r="B3730" s="1">
        <v>45948</v>
      </c>
    </row>
    <row r="3731" spans="2:2" x14ac:dyDescent="0.25">
      <c r="B3731" s="1">
        <v>45949</v>
      </c>
    </row>
    <row r="3732" spans="2:2" x14ac:dyDescent="0.25">
      <c r="B3732" s="1">
        <v>45950</v>
      </c>
    </row>
    <row r="3733" spans="2:2" x14ac:dyDescent="0.25">
      <c r="B3733" s="1">
        <v>45951</v>
      </c>
    </row>
    <row r="3734" spans="2:2" x14ac:dyDescent="0.25">
      <c r="B3734" s="1">
        <v>45952</v>
      </c>
    </row>
    <row r="3735" spans="2:2" x14ac:dyDescent="0.25">
      <c r="B3735" s="1">
        <v>45953</v>
      </c>
    </row>
    <row r="3736" spans="2:2" x14ac:dyDescent="0.25">
      <c r="B3736" s="1">
        <v>45954</v>
      </c>
    </row>
    <row r="3737" spans="2:2" x14ac:dyDescent="0.25">
      <c r="B3737" s="1">
        <v>45955</v>
      </c>
    </row>
    <row r="3738" spans="2:2" x14ac:dyDescent="0.25">
      <c r="B3738" s="1">
        <v>45956</v>
      </c>
    </row>
    <row r="3739" spans="2:2" x14ac:dyDescent="0.25">
      <c r="B3739" s="1">
        <v>45957</v>
      </c>
    </row>
    <row r="3740" spans="2:2" x14ac:dyDescent="0.25">
      <c r="B3740" s="1">
        <v>45958</v>
      </c>
    </row>
    <row r="3741" spans="2:2" x14ac:dyDescent="0.25">
      <c r="B3741" s="1">
        <v>45959</v>
      </c>
    </row>
    <row r="3742" spans="2:2" x14ac:dyDescent="0.25">
      <c r="B3742" s="1">
        <v>45960</v>
      </c>
    </row>
    <row r="3743" spans="2:2" x14ac:dyDescent="0.25">
      <c r="B3743" s="1">
        <v>45961</v>
      </c>
    </row>
    <row r="3744" spans="2:2" x14ac:dyDescent="0.25">
      <c r="B3744" s="1">
        <v>45962</v>
      </c>
    </row>
    <row r="3745" spans="2:2" x14ac:dyDescent="0.25">
      <c r="B3745" s="1">
        <v>45963</v>
      </c>
    </row>
    <row r="3746" spans="2:2" x14ac:dyDescent="0.25">
      <c r="B3746" s="1">
        <v>45964</v>
      </c>
    </row>
    <row r="3747" spans="2:2" x14ac:dyDescent="0.25">
      <c r="B3747" s="1">
        <v>45965</v>
      </c>
    </row>
    <row r="3748" spans="2:2" x14ac:dyDescent="0.25">
      <c r="B3748" s="1">
        <v>45966</v>
      </c>
    </row>
    <row r="3749" spans="2:2" x14ac:dyDescent="0.25">
      <c r="B3749" s="1">
        <v>45967</v>
      </c>
    </row>
    <row r="3750" spans="2:2" x14ac:dyDescent="0.25">
      <c r="B3750" s="1">
        <v>45968</v>
      </c>
    </row>
    <row r="3751" spans="2:2" x14ac:dyDescent="0.25">
      <c r="B3751" s="1">
        <v>45969</v>
      </c>
    </row>
    <row r="3752" spans="2:2" x14ac:dyDescent="0.25">
      <c r="B3752" s="1">
        <v>45970</v>
      </c>
    </row>
    <row r="3753" spans="2:2" x14ac:dyDescent="0.25">
      <c r="B3753" s="1">
        <v>45971</v>
      </c>
    </row>
    <row r="3754" spans="2:2" x14ac:dyDescent="0.25">
      <c r="B3754" s="1">
        <v>45972</v>
      </c>
    </row>
    <row r="3755" spans="2:2" x14ac:dyDescent="0.25">
      <c r="B3755" s="1">
        <v>45973</v>
      </c>
    </row>
    <row r="3756" spans="2:2" x14ac:dyDescent="0.25">
      <c r="B3756" s="1">
        <v>45974</v>
      </c>
    </row>
    <row r="3757" spans="2:2" x14ac:dyDescent="0.25">
      <c r="B3757" s="1">
        <v>45975</v>
      </c>
    </row>
    <row r="3758" spans="2:2" x14ac:dyDescent="0.25">
      <c r="B3758" s="1">
        <v>45976</v>
      </c>
    </row>
    <row r="3759" spans="2:2" x14ac:dyDescent="0.25">
      <c r="B3759" s="1">
        <v>45977</v>
      </c>
    </row>
    <row r="3760" spans="2:2" x14ac:dyDescent="0.25">
      <c r="B3760" s="1">
        <v>45978</v>
      </c>
    </row>
    <row r="3761" spans="2:2" x14ac:dyDescent="0.25">
      <c r="B3761" s="1">
        <v>45979</v>
      </c>
    </row>
    <row r="3762" spans="2:2" x14ac:dyDescent="0.25">
      <c r="B3762" s="1">
        <v>45980</v>
      </c>
    </row>
    <row r="3763" spans="2:2" x14ac:dyDescent="0.25">
      <c r="B3763" s="1">
        <v>45981</v>
      </c>
    </row>
    <row r="3764" spans="2:2" x14ac:dyDescent="0.25">
      <c r="B3764" s="1">
        <v>45982</v>
      </c>
    </row>
    <row r="3765" spans="2:2" x14ac:dyDescent="0.25">
      <c r="B3765" s="1">
        <v>45983</v>
      </c>
    </row>
    <row r="3766" spans="2:2" x14ac:dyDescent="0.25">
      <c r="B3766" s="1">
        <v>45984</v>
      </c>
    </row>
    <row r="3767" spans="2:2" x14ac:dyDescent="0.25">
      <c r="B3767" s="1">
        <v>45985</v>
      </c>
    </row>
    <row r="3768" spans="2:2" x14ac:dyDescent="0.25">
      <c r="B3768" s="1">
        <v>45986</v>
      </c>
    </row>
    <row r="3769" spans="2:2" x14ac:dyDescent="0.25">
      <c r="B3769" s="1">
        <v>45987</v>
      </c>
    </row>
    <row r="3770" spans="2:2" x14ac:dyDescent="0.25">
      <c r="B3770" s="1">
        <v>45988</v>
      </c>
    </row>
    <row r="3771" spans="2:2" x14ac:dyDescent="0.25">
      <c r="B3771" s="1">
        <v>45989</v>
      </c>
    </row>
    <row r="3772" spans="2:2" x14ac:dyDescent="0.25">
      <c r="B3772" s="1">
        <v>45990</v>
      </c>
    </row>
    <row r="3773" spans="2:2" x14ac:dyDescent="0.25">
      <c r="B3773" s="1">
        <v>45991</v>
      </c>
    </row>
    <row r="3774" spans="2:2" x14ac:dyDescent="0.25">
      <c r="B3774" s="1">
        <v>45992</v>
      </c>
    </row>
    <row r="3775" spans="2:2" x14ac:dyDescent="0.25">
      <c r="B3775" s="1">
        <v>45993</v>
      </c>
    </row>
    <row r="3776" spans="2:2" x14ac:dyDescent="0.25">
      <c r="B3776" s="1">
        <v>45994</v>
      </c>
    </row>
    <row r="3777" spans="2:2" x14ac:dyDescent="0.25">
      <c r="B3777" s="1">
        <v>45995</v>
      </c>
    </row>
    <row r="3778" spans="2:2" x14ac:dyDescent="0.25">
      <c r="B3778" s="1">
        <v>45996</v>
      </c>
    </row>
    <row r="3779" spans="2:2" x14ac:dyDescent="0.25">
      <c r="B3779" s="1">
        <v>45997</v>
      </c>
    </row>
    <row r="3780" spans="2:2" x14ac:dyDescent="0.25">
      <c r="B3780" s="1">
        <v>45998</v>
      </c>
    </row>
    <row r="3781" spans="2:2" x14ac:dyDescent="0.25">
      <c r="B3781" s="1">
        <v>45999</v>
      </c>
    </row>
    <row r="3782" spans="2:2" x14ac:dyDescent="0.25">
      <c r="B3782" s="1">
        <v>46000</v>
      </c>
    </row>
    <row r="3783" spans="2:2" x14ac:dyDescent="0.25">
      <c r="B3783" s="1">
        <v>46001</v>
      </c>
    </row>
    <row r="3784" spans="2:2" x14ac:dyDescent="0.25">
      <c r="B3784" s="1">
        <v>46002</v>
      </c>
    </row>
    <row r="3785" spans="2:2" x14ac:dyDescent="0.25">
      <c r="B3785" s="1">
        <v>46003</v>
      </c>
    </row>
    <row r="3786" spans="2:2" x14ac:dyDescent="0.25">
      <c r="B3786" s="1">
        <v>46004</v>
      </c>
    </row>
    <row r="3787" spans="2:2" x14ac:dyDescent="0.25">
      <c r="B3787" s="1">
        <v>46005</v>
      </c>
    </row>
    <row r="3788" spans="2:2" x14ac:dyDescent="0.25">
      <c r="B3788" s="1">
        <v>46006</v>
      </c>
    </row>
    <row r="3789" spans="2:2" x14ac:dyDescent="0.25">
      <c r="B3789" s="1">
        <v>46007</v>
      </c>
    </row>
    <row r="3790" spans="2:2" x14ac:dyDescent="0.25">
      <c r="B3790" s="1">
        <v>46008</v>
      </c>
    </row>
    <row r="3791" spans="2:2" x14ac:dyDescent="0.25">
      <c r="B3791" s="1">
        <v>46009</v>
      </c>
    </row>
    <row r="3792" spans="2:2" x14ac:dyDescent="0.25">
      <c r="B3792" s="1">
        <v>46010</v>
      </c>
    </row>
    <row r="3793" spans="2:2" x14ac:dyDescent="0.25">
      <c r="B3793" s="1">
        <v>46011</v>
      </c>
    </row>
    <row r="3794" spans="2:2" x14ac:dyDescent="0.25">
      <c r="B3794" s="1">
        <v>46012</v>
      </c>
    </row>
    <row r="3795" spans="2:2" x14ac:dyDescent="0.25">
      <c r="B3795" s="1">
        <v>46013</v>
      </c>
    </row>
    <row r="3796" spans="2:2" x14ac:dyDescent="0.25">
      <c r="B3796" s="1">
        <v>46014</v>
      </c>
    </row>
    <row r="3797" spans="2:2" x14ac:dyDescent="0.25">
      <c r="B3797" s="1">
        <v>46015</v>
      </c>
    </row>
    <row r="3798" spans="2:2" x14ac:dyDescent="0.25">
      <c r="B3798" s="1">
        <v>46016</v>
      </c>
    </row>
    <row r="3799" spans="2:2" x14ac:dyDescent="0.25">
      <c r="B3799" s="1">
        <v>46017</v>
      </c>
    </row>
    <row r="3800" spans="2:2" x14ac:dyDescent="0.25">
      <c r="B3800" s="1">
        <v>46018</v>
      </c>
    </row>
    <row r="3801" spans="2:2" x14ac:dyDescent="0.25">
      <c r="B3801" s="1">
        <v>46019</v>
      </c>
    </row>
    <row r="3802" spans="2:2" x14ac:dyDescent="0.25">
      <c r="B3802" s="1">
        <v>46020</v>
      </c>
    </row>
    <row r="3803" spans="2:2" x14ac:dyDescent="0.25">
      <c r="B3803" s="1">
        <v>46021</v>
      </c>
    </row>
    <row r="3804" spans="2:2" x14ac:dyDescent="0.25">
      <c r="B3804" s="1">
        <v>46022</v>
      </c>
    </row>
    <row r="3805" spans="2:2" x14ac:dyDescent="0.25">
      <c r="B3805" s="1">
        <v>46023</v>
      </c>
    </row>
    <row r="3806" spans="2:2" x14ac:dyDescent="0.25">
      <c r="B3806" s="1">
        <v>46024</v>
      </c>
    </row>
    <row r="3807" spans="2:2" x14ac:dyDescent="0.25">
      <c r="B3807" s="1">
        <v>46025</v>
      </c>
    </row>
    <row r="3808" spans="2:2" x14ac:dyDescent="0.25">
      <c r="B3808" s="1">
        <v>46026</v>
      </c>
    </row>
    <row r="3809" spans="2:2" x14ac:dyDescent="0.25">
      <c r="B3809" s="1">
        <v>46027</v>
      </c>
    </row>
    <row r="3810" spans="2:2" x14ac:dyDescent="0.25">
      <c r="B3810" s="1">
        <v>46028</v>
      </c>
    </row>
    <row r="3811" spans="2:2" x14ac:dyDescent="0.25">
      <c r="B3811" s="1">
        <v>46029</v>
      </c>
    </row>
    <row r="3812" spans="2:2" x14ac:dyDescent="0.25">
      <c r="B3812" s="1">
        <v>46030</v>
      </c>
    </row>
    <row r="3813" spans="2:2" x14ac:dyDescent="0.25">
      <c r="B3813" s="1">
        <v>46031</v>
      </c>
    </row>
    <row r="3814" spans="2:2" x14ac:dyDescent="0.25">
      <c r="B3814" s="1">
        <v>46032</v>
      </c>
    </row>
    <row r="3815" spans="2:2" x14ac:dyDescent="0.25">
      <c r="B3815" s="1">
        <v>46033</v>
      </c>
    </row>
    <row r="3816" spans="2:2" x14ac:dyDescent="0.25">
      <c r="B3816" s="1">
        <v>46034</v>
      </c>
    </row>
    <row r="3817" spans="2:2" x14ac:dyDescent="0.25">
      <c r="B3817" s="1">
        <v>46035</v>
      </c>
    </row>
    <row r="3818" spans="2:2" x14ac:dyDescent="0.25">
      <c r="B3818" s="1">
        <v>46036</v>
      </c>
    </row>
    <row r="3819" spans="2:2" x14ac:dyDescent="0.25">
      <c r="B3819" s="1">
        <v>46037</v>
      </c>
    </row>
    <row r="3820" spans="2:2" x14ac:dyDescent="0.25">
      <c r="B3820" s="1">
        <v>46038</v>
      </c>
    </row>
    <row r="3821" spans="2:2" x14ac:dyDescent="0.25">
      <c r="B3821" s="1">
        <v>46039</v>
      </c>
    </row>
    <row r="3822" spans="2:2" x14ac:dyDescent="0.25">
      <c r="B3822" s="1">
        <v>46040</v>
      </c>
    </row>
    <row r="3823" spans="2:2" x14ac:dyDescent="0.25">
      <c r="B3823" s="1">
        <v>46041</v>
      </c>
    </row>
    <row r="3824" spans="2:2" x14ac:dyDescent="0.25">
      <c r="B3824" s="1">
        <v>46042</v>
      </c>
    </row>
    <row r="3825" spans="2:2" x14ac:dyDescent="0.25">
      <c r="B3825" s="1">
        <v>46043</v>
      </c>
    </row>
    <row r="3826" spans="2:2" x14ac:dyDescent="0.25">
      <c r="B3826" s="1">
        <v>46044</v>
      </c>
    </row>
    <row r="3827" spans="2:2" x14ac:dyDescent="0.25">
      <c r="B3827" s="1">
        <v>46045</v>
      </c>
    </row>
    <row r="3828" spans="2:2" x14ac:dyDescent="0.25">
      <c r="B3828" s="1">
        <v>46046</v>
      </c>
    </row>
    <row r="3829" spans="2:2" x14ac:dyDescent="0.25">
      <c r="B3829" s="1">
        <v>46047</v>
      </c>
    </row>
    <row r="3830" spans="2:2" x14ac:dyDescent="0.25">
      <c r="B3830" s="1">
        <v>46048</v>
      </c>
    </row>
    <row r="3831" spans="2:2" x14ac:dyDescent="0.25">
      <c r="B3831" s="1">
        <v>46049</v>
      </c>
    </row>
    <row r="3832" spans="2:2" x14ac:dyDescent="0.25">
      <c r="B3832" s="1">
        <v>46050</v>
      </c>
    </row>
    <row r="3833" spans="2:2" x14ac:dyDescent="0.25">
      <c r="B3833" s="1">
        <v>46051</v>
      </c>
    </row>
    <row r="3834" spans="2:2" x14ac:dyDescent="0.25">
      <c r="B3834" s="1">
        <v>46052</v>
      </c>
    </row>
    <row r="3835" spans="2:2" x14ac:dyDescent="0.25">
      <c r="B3835" s="1">
        <v>46053</v>
      </c>
    </row>
    <row r="3836" spans="2:2" x14ac:dyDescent="0.25">
      <c r="B3836" s="1">
        <v>46054</v>
      </c>
    </row>
    <row r="3837" spans="2:2" x14ac:dyDescent="0.25">
      <c r="B3837" s="1">
        <v>46055</v>
      </c>
    </row>
    <row r="3838" spans="2:2" x14ac:dyDescent="0.25">
      <c r="B3838" s="1">
        <v>46056</v>
      </c>
    </row>
    <row r="3839" spans="2:2" x14ac:dyDescent="0.25">
      <c r="B3839" s="1">
        <v>46057</v>
      </c>
    </row>
    <row r="3840" spans="2:2" x14ac:dyDescent="0.25">
      <c r="B3840" s="1">
        <v>46058</v>
      </c>
    </row>
    <row r="3841" spans="2:2" x14ac:dyDescent="0.25">
      <c r="B3841" s="1">
        <v>46059</v>
      </c>
    </row>
    <row r="3842" spans="2:2" x14ac:dyDescent="0.25">
      <c r="B3842" s="1">
        <v>46060</v>
      </c>
    </row>
    <row r="3843" spans="2:2" x14ac:dyDescent="0.25">
      <c r="B3843" s="1">
        <v>46061</v>
      </c>
    </row>
    <row r="3844" spans="2:2" x14ac:dyDescent="0.25">
      <c r="B3844" s="1">
        <v>46062</v>
      </c>
    </row>
    <row r="3845" spans="2:2" x14ac:dyDescent="0.25">
      <c r="B3845" s="1">
        <v>46063</v>
      </c>
    </row>
    <row r="3846" spans="2:2" x14ac:dyDescent="0.25">
      <c r="B3846" s="1">
        <v>46064</v>
      </c>
    </row>
    <row r="3847" spans="2:2" x14ac:dyDescent="0.25">
      <c r="B3847" s="1">
        <v>46065</v>
      </c>
    </row>
    <row r="3848" spans="2:2" x14ac:dyDescent="0.25">
      <c r="B3848" s="1">
        <v>46066</v>
      </c>
    </row>
    <row r="3849" spans="2:2" x14ac:dyDescent="0.25">
      <c r="B3849" s="1">
        <v>46067</v>
      </c>
    </row>
    <row r="3850" spans="2:2" x14ac:dyDescent="0.25">
      <c r="B3850" s="1">
        <v>46068</v>
      </c>
    </row>
    <row r="3851" spans="2:2" x14ac:dyDescent="0.25">
      <c r="B3851" s="1">
        <v>46069</v>
      </c>
    </row>
    <row r="3852" spans="2:2" x14ac:dyDescent="0.25">
      <c r="B3852" s="1">
        <v>46070</v>
      </c>
    </row>
    <row r="3853" spans="2:2" x14ac:dyDescent="0.25">
      <c r="B3853" s="1">
        <v>46071</v>
      </c>
    </row>
    <row r="3854" spans="2:2" x14ac:dyDescent="0.25">
      <c r="B3854" s="1">
        <v>46072</v>
      </c>
    </row>
    <row r="3855" spans="2:2" x14ac:dyDescent="0.25">
      <c r="B3855" s="1">
        <v>46073</v>
      </c>
    </row>
    <row r="3856" spans="2:2" x14ac:dyDescent="0.25">
      <c r="B3856" s="1">
        <v>46074</v>
      </c>
    </row>
    <row r="3857" spans="2:2" x14ac:dyDescent="0.25">
      <c r="B3857" s="1">
        <v>46075</v>
      </c>
    </row>
    <row r="3858" spans="2:2" x14ac:dyDescent="0.25">
      <c r="B3858" s="1">
        <v>46076</v>
      </c>
    </row>
    <row r="3859" spans="2:2" x14ac:dyDescent="0.25">
      <c r="B3859" s="1">
        <v>46077</v>
      </c>
    </row>
    <row r="3860" spans="2:2" x14ac:dyDescent="0.25">
      <c r="B3860" s="1">
        <v>46078</v>
      </c>
    </row>
    <row r="3861" spans="2:2" x14ac:dyDescent="0.25">
      <c r="B3861" s="1">
        <v>46079</v>
      </c>
    </row>
    <row r="3862" spans="2:2" x14ac:dyDescent="0.25">
      <c r="B3862" s="1">
        <v>46080</v>
      </c>
    </row>
    <row r="3863" spans="2:2" x14ac:dyDescent="0.25">
      <c r="B3863" s="1">
        <v>46081</v>
      </c>
    </row>
    <row r="3864" spans="2:2" x14ac:dyDescent="0.25">
      <c r="B3864" s="1">
        <v>46082</v>
      </c>
    </row>
    <row r="3865" spans="2:2" x14ac:dyDescent="0.25">
      <c r="B3865" s="1">
        <v>46083</v>
      </c>
    </row>
    <row r="3866" spans="2:2" x14ac:dyDescent="0.25">
      <c r="B3866" s="1">
        <v>46084</v>
      </c>
    </row>
    <row r="3867" spans="2:2" x14ac:dyDescent="0.25">
      <c r="B3867" s="1">
        <v>46085</v>
      </c>
    </row>
    <row r="3868" spans="2:2" x14ac:dyDescent="0.25">
      <c r="B3868" s="1">
        <v>46086</v>
      </c>
    </row>
    <row r="3869" spans="2:2" x14ac:dyDescent="0.25">
      <c r="B3869" s="1">
        <v>46087</v>
      </c>
    </row>
    <row r="3870" spans="2:2" x14ac:dyDescent="0.25">
      <c r="B3870" s="1">
        <v>46088</v>
      </c>
    </row>
    <row r="3871" spans="2:2" x14ac:dyDescent="0.25">
      <c r="B3871" s="1">
        <v>46089</v>
      </c>
    </row>
    <row r="3872" spans="2:2" x14ac:dyDescent="0.25">
      <c r="B3872" s="1">
        <v>46090</v>
      </c>
    </row>
    <row r="3873" spans="2:2" x14ac:dyDescent="0.25">
      <c r="B3873" s="1">
        <v>46091</v>
      </c>
    </row>
    <row r="3874" spans="2:2" x14ac:dyDescent="0.25">
      <c r="B3874" s="1">
        <v>46092</v>
      </c>
    </row>
    <row r="3875" spans="2:2" x14ac:dyDescent="0.25">
      <c r="B3875" s="1">
        <v>46093</v>
      </c>
    </row>
    <row r="3876" spans="2:2" x14ac:dyDescent="0.25">
      <c r="B3876" s="1">
        <v>46094</v>
      </c>
    </row>
    <row r="3877" spans="2:2" x14ac:dyDescent="0.25">
      <c r="B3877" s="1">
        <v>46095</v>
      </c>
    </row>
    <row r="3878" spans="2:2" x14ac:dyDescent="0.25">
      <c r="B3878" s="1">
        <v>46096</v>
      </c>
    </row>
    <row r="3879" spans="2:2" x14ac:dyDescent="0.25">
      <c r="B3879" s="1">
        <v>46097</v>
      </c>
    </row>
    <row r="3880" spans="2:2" x14ac:dyDescent="0.25">
      <c r="B3880" s="1">
        <v>46098</v>
      </c>
    </row>
    <row r="3881" spans="2:2" x14ac:dyDescent="0.25">
      <c r="B3881" s="1">
        <v>46099</v>
      </c>
    </row>
    <row r="3882" spans="2:2" x14ac:dyDescent="0.25">
      <c r="B3882" s="1">
        <v>46100</v>
      </c>
    </row>
    <row r="3883" spans="2:2" x14ac:dyDescent="0.25">
      <c r="B3883" s="1">
        <v>46101</v>
      </c>
    </row>
    <row r="3884" spans="2:2" x14ac:dyDescent="0.25">
      <c r="B3884" s="1">
        <v>46102</v>
      </c>
    </row>
    <row r="3885" spans="2:2" x14ac:dyDescent="0.25">
      <c r="B3885" s="1">
        <v>46103</v>
      </c>
    </row>
    <row r="3886" spans="2:2" x14ac:dyDescent="0.25">
      <c r="B3886" s="1">
        <v>46104</v>
      </c>
    </row>
    <row r="3887" spans="2:2" x14ac:dyDescent="0.25">
      <c r="B3887" s="1">
        <v>46105</v>
      </c>
    </row>
    <row r="3888" spans="2:2" x14ac:dyDescent="0.25">
      <c r="B3888" s="1">
        <v>46106</v>
      </c>
    </row>
    <row r="3889" spans="2:2" x14ac:dyDescent="0.25">
      <c r="B3889" s="1">
        <v>46107</v>
      </c>
    </row>
    <row r="3890" spans="2:2" x14ac:dyDescent="0.25">
      <c r="B3890" s="1">
        <v>46108</v>
      </c>
    </row>
    <row r="3891" spans="2:2" x14ac:dyDescent="0.25">
      <c r="B3891" s="1">
        <v>46109</v>
      </c>
    </row>
    <row r="3892" spans="2:2" x14ac:dyDescent="0.25">
      <c r="B3892" s="1">
        <v>46110</v>
      </c>
    </row>
    <row r="3893" spans="2:2" x14ac:dyDescent="0.25">
      <c r="B3893" s="1">
        <v>46111</v>
      </c>
    </row>
    <row r="3894" spans="2:2" x14ac:dyDescent="0.25">
      <c r="B3894" s="1">
        <v>46112</v>
      </c>
    </row>
    <row r="3895" spans="2:2" x14ac:dyDescent="0.25">
      <c r="B3895" s="1">
        <v>46113</v>
      </c>
    </row>
    <row r="3896" spans="2:2" x14ac:dyDescent="0.25">
      <c r="B3896" s="1">
        <v>46114</v>
      </c>
    </row>
    <row r="3897" spans="2:2" x14ac:dyDescent="0.25">
      <c r="B3897" s="1">
        <v>46115</v>
      </c>
    </row>
    <row r="3898" spans="2:2" x14ac:dyDescent="0.25">
      <c r="B3898" s="1">
        <v>46116</v>
      </c>
    </row>
    <row r="3899" spans="2:2" x14ac:dyDescent="0.25">
      <c r="B3899" s="1">
        <v>46117</v>
      </c>
    </row>
    <row r="3900" spans="2:2" x14ac:dyDescent="0.25">
      <c r="B3900" s="1">
        <v>46118</v>
      </c>
    </row>
    <row r="3901" spans="2:2" x14ac:dyDescent="0.25">
      <c r="B3901" s="1">
        <v>46119</v>
      </c>
    </row>
    <row r="3902" spans="2:2" x14ac:dyDescent="0.25">
      <c r="B3902" s="1">
        <v>46120</v>
      </c>
    </row>
    <row r="3903" spans="2:2" x14ac:dyDescent="0.25">
      <c r="B3903" s="1">
        <v>46121</v>
      </c>
    </row>
    <row r="3904" spans="2:2" x14ac:dyDescent="0.25">
      <c r="B3904" s="1">
        <v>46122</v>
      </c>
    </row>
    <row r="3905" spans="2:2" x14ac:dyDescent="0.25">
      <c r="B3905" s="1">
        <v>46123</v>
      </c>
    </row>
    <row r="3906" spans="2:2" x14ac:dyDescent="0.25">
      <c r="B3906" s="1">
        <v>46124</v>
      </c>
    </row>
    <row r="3907" spans="2:2" x14ac:dyDescent="0.25">
      <c r="B3907" s="1">
        <v>46125</v>
      </c>
    </row>
    <row r="3908" spans="2:2" x14ac:dyDescent="0.25">
      <c r="B3908" s="1">
        <v>46126</v>
      </c>
    </row>
    <row r="3909" spans="2:2" x14ac:dyDescent="0.25">
      <c r="B3909" s="1">
        <v>46127</v>
      </c>
    </row>
    <row r="3910" spans="2:2" x14ac:dyDescent="0.25">
      <c r="B3910" s="1">
        <v>46128</v>
      </c>
    </row>
    <row r="3911" spans="2:2" x14ac:dyDescent="0.25">
      <c r="B3911" s="1">
        <v>46129</v>
      </c>
    </row>
    <row r="3912" spans="2:2" x14ac:dyDescent="0.25">
      <c r="B3912" s="1">
        <v>46130</v>
      </c>
    </row>
    <row r="3913" spans="2:2" x14ac:dyDescent="0.25">
      <c r="B3913" s="1">
        <v>46131</v>
      </c>
    </row>
    <row r="3914" spans="2:2" x14ac:dyDescent="0.25">
      <c r="B3914" s="1">
        <v>46132</v>
      </c>
    </row>
    <row r="3915" spans="2:2" x14ac:dyDescent="0.25">
      <c r="B3915" s="1">
        <v>46133</v>
      </c>
    </row>
    <row r="3916" spans="2:2" x14ac:dyDescent="0.25">
      <c r="B3916" s="1">
        <v>46134</v>
      </c>
    </row>
    <row r="3917" spans="2:2" x14ac:dyDescent="0.25">
      <c r="B3917" s="1">
        <v>46135</v>
      </c>
    </row>
    <row r="3918" spans="2:2" x14ac:dyDescent="0.25">
      <c r="B3918" s="1">
        <v>46136</v>
      </c>
    </row>
    <row r="3919" spans="2:2" x14ac:dyDescent="0.25">
      <c r="B3919" s="1">
        <v>46137</v>
      </c>
    </row>
    <row r="3920" spans="2:2" x14ac:dyDescent="0.25">
      <c r="B3920" s="1">
        <v>46138</v>
      </c>
    </row>
    <row r="3921" spans="2:2" x14ac:dyDescent="0.25">
      <c r="B3921" s="1">
        <v>46139</v>
      </c>
    </row>
    <row r="3922" spans="2:2" x14ac:dyDescent="0.25">
      <c r="B3922" s="1">
        <v>46140</v>
      </c>
    </row>
    <row r="3923" spans="2:2" x14ac:dyDescent="0.25">
      <c r="B3923" s="1">
        <v>46141</v>
      </c>
    </row>
    <row r="3924" spans="2:2" x14ac:dyDescent="0.25">
      <c r="B3924" s="1">
        <v>46142</v>
      </c>
    </row>
    <row r="3925" spans="2:2" x14ac:dyDescent="0.25">
      <c r="B3925" s="1">
        <v>46143</v>
      </c>
    </row>
    <row r="3926" spans="2:2" x14ac:dyDescent="0.25">
      <c r="B3926" s="1">
        <v>46144</v>
      </c>
    </row>
    <row r="3927" spans="2:2" x14ac:dyDescent="0.25">
      <c r="B3927" s="1">
        <v>46145</v>
      </c>
    </row>
    <row r="3928" spans="2:2" x14ac:dyDescent="0.25">
      <c r="B3928" s="1">
        <v>46146</v>
      </c>
    </row>
    <row r="3929" spans="2:2" x14ac:dyDescent="0.25">
      <c r="B3929" s="1">
        <v>46147</v>
      </c>
    </row>
    <row r="3930" spans="2:2" x14ac:dyDescent="0.25">
      <c r="B3930" s="1">
        <v>46148</v>
      </c>
    </row>
    <row r="3931" spans="2:2" x14ac:dyDescent="0.25">
      <c r="B3931" s="1">
        <v>46149</v>
      </c>
    </row>
    <row r="3932" spans="2:2" x14ac:dyDescent="0.25">
      <c r="B3932" s="1">
        <v>46150</v>
      </c>
    </row>
    <row r="3933" spans="2:2" x14ac:dyDescent="0.25">
      <c r="B3933" s="1">
        <v>46151</v>
      </c>
    </row>
    <row r="3934" spans="2:2" x14ac:dyDescent="0.25">
      <c r="B3934" s="1">
        <v>46152</v>
      </c>
    </row>
    <row r="3935" spans="2:2" x14ac:dyDescent="0.25">
      <c r="B3935" s="1">
        <v>46153</v>
      </c>
    </row>
    <row r="3936" spans="2:2" x14ac:dyDescent="0.25">
      <c r="B3936" s="1">
        <v>46154</v>
      </c>
    </row>
    <row r="3937" spans="2:2" x14ac:dyDescent="0.25">
      <c r="B3937" s="1">
        <v>46155</v>
      </c>
    </row>
    <row r="3938" spans="2:2" x14ac:dyDescent="0.25">
      <c r="B3938" s="1">
        <v>46156</v>
      </c>
    </row>
    <row r="3939" spans="2:2" x14ac:dyDescent="0.25">
      <c r="B3939" s="1">
        <v>46157</v>
      </c>
    </row>
    <row r="3940" spans="2:2" x14ac:dyDescent="0.25">
      <c r="B3940" s="1">
        <v>46158</v>
      </c>
    </row>
    <row r="3941" spans="2:2" x14ac:dyDescent="0.25">
      <c r="B3941" s="1">
        <v>46159</v>
      </c>
    </row>
    <row r="3942" spans="2:2" x14ac:dyDescent="0.25">
      <c r="B3942" s="1">
        <v>46160</v>
      </c>
    </row>
    <row r="3943" spans="2:2" x14ac:dyDescent="0.25">
      <c r="B3943" s="1">
        <v>46161</v>
      </c>
    </row>
    <row r="3944" spans="2:2" x14ac:dyDescent="0.25">
      <c r="B3944" s="1">
        <v>46162</v>
      </c>
    </row>
    <row r="3945" spans="2:2" x14ac:dyDescent="0.25">
      <c r="B3945" s="1">
        <v>46163</v>
      </c>
    </row>
    <row r="3946" spans="2:2" x14ac:dyDescent="0.25">
      <c r="B3946" s="1">
        <v>46164</v>
      </c>
    </row>
    <row r="3947" spans="2:2" x14ac:dyDescent="0.25">
      <c r="B3947" s="1">
        <v>46165</v>
      </c>
    </row>
    <row r="3948" spans="2:2" x14ac:dyDescent="0.25">
      <c r="B3948" s="1">
        <v>46166</v>
      </c>
    </row>
    <row r="3949" spans="2:2" x14ac:dyDescent="0.25">
      <c r="B3949" s="1">
        <v>46167</v>
      </c>
    </row>
    <row r="3950" spans="2:2" x14ac:dyDescent="0.25">
      <c r="B3950" s="1">
        <v>46168</v>
      </c>
    </row>
    <row r="3951" spans="2:2" x14ac:dyDescent="0.25">
      <c r="B3951" s="1">
        <v>46169</v>
      </c>
    </row>
    <row r="3952" spans="2:2" x14ac:dyDescent="0.25">
      <c r="B3952" s="1">
        <v>46170</v>
      </c>
    </row>
    <row r="3953" spans="2:2" x14ac:dyDescent="0.25">
      <c r="B3953" s="1">
        <v>46171</v>
      </c>
    </row>
    <row r="3954" spans="2:2" x14ac:dyDescent="0.25">
      <c r="B3954" s="1">
        <v>46172</v>
      </c>
    </row>
    <row r="3955" spans="2:2" x14ac:dyDescent="0.25">
      <c r="B3955" s="1">
        <v>46173</v>
      </c>
    </row>
    <row r="3956" spans="2:2" x14ac:dyDescent="0.25">
      <c r="B3956" s="1">
        <v>46174</v>
      </c>
    </row>
    <row r="3957" spans="2:2" x14ac:dyDescent="0.25">
      <c r="B3957" s="1">
        <v>46175</v>
      </c>
    </row>
    <row r="3958" spans="2:2" x14ac:dyDescent="0.25">
      <c r="B3958" s="1">
        <v>46176</v>
      </c>
    </row>
    <row r="3959" spans="2:2" x14ac:dyDescent="0.25">
      <c r="B3959" s="1">
        <v>46177</v>
      </c>
    </row>
    <row r="3960" spans="2:2" x14ac:dyDescent="0.25">
      <c r="B3960" s="1">
        <v>46178</v>
      </c>
    </row>
    <row r="3961" spans="2:2" x14ac:dyDescent="0.25">
      <c r="B3961" s="1">
        <v>46179</v>
      </c>
    </row>
    <row r="3962" spans="2:2" x14ac:dyDescent="0.25">
      <c r="B3962" s="1">
        <v>46180</v>
      </c>
    </row>
    <row r="3963" spans="2:2" x14ac:dyDescent="0.25">
      <c r="B3963" s="1">
        <v>46181</v>
      </c>
    </row>
    <row r="3964" spans="2:2" x14ac:dyDescent="0.25">
      <c r="B3964" s="1">
        <v>46182</v>
      </c>
    </row>
    <row r="3965" spans="2:2" x14ac:dyDescent="0.25">
      <c r="B3965" s="1">
        <v>46183</v>
      </c>
    </row>
    <row r="3966" spans="2:2" x14ac:dyDescent="0.25">
      <c r="B3966" s="1">
        <v>46184</v>
      </c>
    </row>
    <row r="3967" spans="2:2" x14ac:dyDescent="0.25">
      <c r="B3967" s="1">
        <v>46185</v>
      </c>
    </row>
    <row r="3968" spans="2:2" x14ac:dyDescent="0.25">
      <c r="B3968" s="1">
        <v>46186</v>
      </c>
    </row>
    <row r="3969" spans="2:2" x14ac:dyDescent="0.25">
      <c r="B3969" s="1">
        <v>46187</v>
      </c>
    </row>
    <row r="3970" spans="2:2" x14ac:dyDescent="0.25">
      <c r="B3970" s="1">
        <v>46188</v>
      </c>
    </row>
    <row r="3971" spans="2:2" x14ac:dyDescent="0.25">
      <c r="B3971" s="1">
        <v>46189</v>
      </c>
    </row>
    <row r="3972" spans="2:2" x14ac:dyDescent="0.25">
      <c r="B3972" s="1">
        <v>46190</v>
      </c>
    </row>
    <row r="3973" spans="2:2" x14ac:dyDescent="0.25">
      <c r="B3973" s="1">
        <v>46191</v>
      </c>
    </row>
    <row r="3974" spans="2:2" x14ac:dyDescent="0.25">
      <c r="B3974" s="1">
        <v>46192</v>
      </c>
    </row>
    <row r="3975" spans="2:2" x14ac:dyDescent="0.25">
      <c r="B3975" s="1">
        <v>46193</v>
      </c>
    </row>
    <row r="3976" spans="2:2" x14ac:dyDescent="0.25">
      <c r="B3976" s="1">
        <v>46194</v>
      </c>
    </row>
    <row r="3977" spans="2:2" x14ac:dyDescent="0.25">
      <c r="B3977" s="1">
        <v>46195</v>
      </c>
    </row>
    <row r="3978" spans="2:2" x14ac:dyDescent="0.25">
      <c r="B3978" s="1">
        <v>46196</v>
      </c>
    </row>
    <row r="3979" spans="2:2" x14ac:dyDescent="0.25">
      <c r="B3979" s="1">
        <v>46197</v>
      </c>
    </row>
    <row r="3980" spans="2:2" x14ac:dyDescent="0.25">
      <c r="B3980" s="1">
        <v>46198</v>
      </c>
    </row>
    <row r="3981" spans="2:2" x14ac:dyDescent="0.25">
      <c r="B3981" s="1">
        <v>46199</v>
      </c>
    </row>
    <row r="3982" spans="2:2" x14ac:dyDescent="0.25">
      <c r="B3982" s="1">
        <v>46200</v>
      </c>
    </row>
    <row r="3983" spans="2:2" x14ac:dyDescent="0.25">
      <c r="B3983" s="1">
        <v>46201</v>
      </c>
    </row>
    <row r="3984" spans="2:2" x14ac:dyDescent="0.25">
      <c r="B3984" s="1">
        <v>46202</v>
      </c>
    </row>
    <row r="3985" spans="2:2" x14ac:dyDescent="0.25">
      <c r="B3985" s="1">
        <v>46203</v>
      </c>
    </row>
    <row r="3986" spans="2:2" x14ac:dyDescent="0.25">
      <c r="B3986" s="1">
        <v>46204</v>
      </c>
    </row>
    <row r="3987" spans="2:2" x14ac:dyDescent="0.25">
      <c r="B3987" s="1">
        <v>46205</v>
      </c>
    </row>
    <row r="3988" spans="2:2" x14ac:dyDescent="0.25">
      <c r="B3988" s="1">
        <v>46206</v>
      </c>
    </row>
    <row r="3989" spans="2:2" x14ac:dyDescent="0.25">
      <c r="B3989" s="1">
        <v>46207</v>
      </c>
    </row>
    <row r="3990" spans="2:2" x14ac:dyDescent="0.25">
      <c r="B3990" s="1">
        <v>46208</v>
      </c>
    </row>
    <row r="3991" spans="2:2" x14ac:dyDescent="0.25">
      <c r="B3991" s="1">
        <v>46209</v>
      </c>
    </row>
    <row r="3992" spans="2:2" x14ac:dyDescent="0.25">
      <c r="B3992" s="1">
        <v>46210</v>
      </c>
    </row>
    <row r="3993" spans="2:2" x14ac:dyDescent="0.25">
      <c r="B3993" s="1">
        <v>46211</v>
      </c>
    </row>
    <row r="3994" spans="2:2" x14ac:dyDescent="0.25">
      <c r="B3994" s="1">
        <v>46212</v>
      </c>
    </row>
    <row r="3995" spans="2:2" x14ac:dyDescent="0.25">
      <c r="B3995" s="1">
        <v>46213</v>
      </c>
    </row>
    <row r="3996" spans="2:2" x14ac:dyDescent="0.25">
      <c r="B3996" s="1">
        <v>46214</v>
      </c>
    </row>
    <row r="3997" spans="2:2" x14ac:dyDescent="0.25">
      <c r="B3997" s="1">
        <v>46215</v>
      </c>
    </row>
    <row r="3998" spans="2:2" x14ac:dyDescent="0.25">
      <c r="B3998" s="1">
        <v>46216</v>
      </c>
    </row>
    <row r="3999" spans="2:2" x14ac:dyDescent="0.25">
      <c r="B3999" s="1">
        <v>46217</v>
      </c>
    </row>
    <row r="4000" spans="2:2" x14ac:dyDescent="0.25">
      <c r="B4000" s="1">
        <v>46218</v>
      </c>
    </row>
    <row r="4001" spans="2:2" x14ac:dyDescent="0.25">
      <c r="B4001" s="1">
        <v>46219</v>
      </c>
    </row>
    <row r="4002" spans="2:2" x14ac:dyDescent="0.25">
      <c r="B4002" s="1">
        <v>46220</v>
      </c>
    </row>
    <row r="4003" spans="2:2" x14ac:dyDescent="0.25">
      <c r="B4003" s="1">
        <v>46221</v>
      </c>
    </row>
    <row r="4004" spans="2:2" x14ac:dyDescent="0.25">
      <c r="B4004" s="1">
        <v>46222</v>
      </c>
    </row>
    <row r="4005" spans="2:2" x14ac:dyDescent="0.25">
      <c r="B4005" s="1">
        <v>46223</v>
      </c>
    </row>
    <row r="4006" spans="2:2" x14ac:dyDescent="0.25">
      <c r="B4006" s="1">
        <v>46224</v>
      </c>
    </row>
    <row r="4007" spans="2:2" x14ac:dyDescent="0.25">
      <c r="B4007" s="1">
        <v>46225</v>
      </c>
    </row>
    <row r="4008" spans="2:2" x14ac:dyDescent="0.25">
      <c r="B4008" s="1">
        <v>46226</v>
      </c>
    </row>
    <row r="4009" spans="2:2" x14ac:dyDescent="0.25">
      <c r="B4009" s="1">
        <v>46227</v>
      </c>
    </row>
    <row r="4010" spans="2:2" x14ac:dyDescent="0.25">
      <c r="B4010" s="1">
        <v>46228</v>
      </c>
    </row>
    <row r="4011" spans="2:2" x14ac:dyDescent="0.25">
      <c r="B4011" s="1">
        <v>46229</v>
      </c>
    </row>
    <row r="4012" spans="2:2" x14ac:dyDescent="0.25">
      <c r="B4012" s="1">
        <v>46230</v>
      </c>
    </row>
    <row r="4013" spans="2:2" x14ac:dyDescent="0.25">
      <c r="B4013" s="1">
        <v>46231</v>
      </c>
    </row>
    <row r="4014" spans="2:2" x14ac:dyDescent="0.25">
      <c r="B4014" s="1">
        <v>46232</v>
      </c>
    </row>
    <row r="4015" spans="2:2" x14ac:dyDescent="0.25">
      <c r="B4015" s="1">
        <v>46233</v>
      </c>
    </row>
    <row r="4016" spans="2:2" x14ac:dyDescent="0.25">
      <c r="B4016" s="1">
        <v>46234</v>
      </c>
    </row>
    <row r="4017" spans="2:2" x14ac:dyDescent="0.25">
      <c r="B4017" s="1">
        <v>46235</v>
      </c>
    </row>
    <row r="4018" spans="2:2" x14ac:dyDescent="0.25">
      <c r="B4018" s="1">
        <v>46236</v>
      </c>
    </row>
    <row r="4019" spans="2:2" x14ac:dyDescent="0.25">
      <c r="B4019" s="1">
        <v>46237</v>
      </c>
    </row>
    <row r="4020" spans="2:2" x14ac:dyDescent="0.25">
      <c r="B4020" s="1">
        <v>46238</v>
      </c>
    </row>
    <row r="4021" spans="2:2" x14ac:dyDescent="0.25">
      <c r="B4021" s="1">
        <v>46239</v>
      </c>
    </row>
    <row r="4022" spans="2:2" x14ac:dyDescent="0.25">
      <c r="B4022" s="1">
        <v>46240</v>
      </c>
    </row>
    <row r="4023" spans="2:2" x14ac:dyDescent="0.25">
      <c r="B4023" s="1">
        <v>46241</v>
      </c>
    </row>
    <row r="4024" spans="2:2" x14ac:dyDescent="0.25">
      <c r="B4024" s="1">
        <v>46242</v>
      </c>
    </row>
    <row r="4025" spans="2:2" x14ac:dyDescent="0.25">
      <c r="B4025" s="1">
        <v>46243</v>
      </c>
    </row>
    <row r="4026" spans="2:2" x14ac:dyDescent="0.25">
      <c r="B4026" s="1">
        <v>46244</v>
      </c>
    </row>
    <row r="4027" spans="2:2" x14ac:dyDescent="0.25">
      <c r="B4027" s="1">
        <v>46245</v>
      </c>
    </row>
    <row r="4028" spans="2:2" x14ac:dyDescent="0.25">
      <c r="B4028" s="1">
        <v>46246</v>
      </c>
    </row>
    <row r="4029" spans="2:2" x14ac:dyDescent="0.25">
      <c r="B4029" s="1">
        <v>46247</v>
      </c>
    </row>
    <row r="4030" spans="2:2" x14ac:dyDescent="0.25">
      <c r="B4030" s="1">
        <v>46248</v>
      </c>
    </row>
    <row r="4031" spans="2:2" x14ac:dyDescent="0.25">
      <c r="B4031" s="1">
        <v>46249</v>
      </c>
    </row>
    <row r="4032" spans="2:2" x14ac:dyDescent="0.25">
      <c r="B4032" s="1">
        <v>46250</v>
      </c>
    </row>
    <row r="4033" spans="2:2" x14ac:dyDescent="0.25">
      <c r="B4033" s="1">
        <v>46251</v>
      </c>
    </row>
    <row r="4034" spans="2:2" x14ac:dyDescent="0.25">
      <c r="B4034" s="1">
        <v>46252</v>
      </c>
    </row>
    <row r="4035" spans="2:2" x14ac:dyDescent="0.25">
      <c r="B4035" s="1">
        <v>46253</v>
      </c>
    </row>
    <row r="4036" spans="2:2" x14ac:dyDescent="0.25">
      <c r="B4036" s="1">
        <v>46254</v>
      </c>
    </row>
    <row r="4037" spans="2:2" x14ac:dyDescent="0.25">
      <c r="B4037" s="1">
        <v>46255</v>
      </c>
    </row>
    <row r="4038" spans="2:2" x14ac:dyDescent="0.25">
      <c r="B4038" s="1">
        <v>46256</v>
      </c>
    </row>
    <row r="4039" spans="2:2" x14ac:dyDescent="0.25">
      <c r="B4039" s="1">
        <v>46257</v>
      </c>
    </row>
    <row r="4040" spans="2:2" x14ac:dyDescent="0.25">
      <c r="B4040" s="1">
        <v>46258</v>
      </c>
    </row>
    <row r="4041" spans="2:2" x14ac:dyDescent="0.25">
      <c r="B4041" s="1">
        <v>46259</v>
      </c>
    </row>
    <row r="4042" spans="2:2" x14ac:dyDescent="0.25">
      <c r="B4042" s="1">
        <v>46260</v>
      </c>
    </row>
    <row r="4043" spans="2:2" x14ac:dyDescent="0.25">
      <c r="B4043" s="1">
        <v>46261</v>
      </c>
    </row>
    <row r="4044" spans="2:2" x14ac:dyDescent="0.25">
      <c r="B4044" s="1">
        <v>46262</v>
      </c>
    </row>
    <row r="4045" spans="2:2" x14ac:dyDescent="0.25">
      <c r="B4045" s="1">
        <v>46263</v>
      </c>
    </row>
    <row r="4046" spans="2:2" x14ac:dyDescent="0.25">
      <c r="B4046" s="1">
        <v>46264</v>
      </c>
    </row>
    <row r="4047" spans="2:2" x14ac:dyDescent="0.25">
      <c r="B4047" s="1">
        <v>46265</v>
      </c>
    </row>
    <row r="4048" spans="2:2" x14ac:dyDescent="0.25">
      <c r="B4048" s="1">
        <v>46266</v>
      </c>
    </row>
    <row r="4049" spans="2:2" x14ac:dyDescent="0.25">
      <c r="B4049" s="1">
        <v>46267</v>
      </c>
    </row>
    <row r="4050" spans="2:2" x14ac:dyDescent="0.25">
      <c r="B4050" s="1">
        <v>46268</v>
      </c>
    </row>
    <row r="4051" spans="2:2" x14ac:dyDescent="0.25">
      <c r="B4051" s="1">
        <v>46269</v>
      </c>
    </row>
    <row r="4052" spans="2:2" x14ac:dyDescent="0.25">
      <c r="B4052" s="1">
        <v>46270</v>
      </c>
    </row>
    <row r="4053" spans="2:2" x14ac:dyDescent="0.25">
      <c r="B4053" s="1">
        <v>46271</v>
      </c>
    </row>
    <row r="4054" spans="2:2" x14ac:dyDescent="0.25">
      <c r="B4054" s="1">
        <v>46272</v>
      </c>
    </row>
    <row r="4055" spans="2:2" x14ac:dyDescent="0.25">
      <c r="B4055" s="1">
        <v>46273</v>
      </c>
    </row>
    <row r="4056" spans="2:2" x14ac:dyDescent="0.25">
      <c r="B4056" s="1">
        <v>46274</v>
      </c>
    </row>
    <row r="4057" spans="2:2" x14ac:dyDescent="0.25">
      <c r="B4057" s="1">
        <v>46275</v>
      </c>
    </row>
    <row r="4058" spans="2:2" x14ac:dyDescent="0.25">
      <c r="B4058" s="1">
        <v>46276</v>
      </c>
    </row>
    <row r="4059" spans="2:2" x14ac:dyDescent="0.25">
      <c r="B4059" s="1">
        <v>46277</v>
      </c>
    </row>
    <row r="4060" spans="2:2" x14ac:dyDescent="0.25">
      <c r="B4060" s="1">
        <v>46278</v>
      </c>
    </row>
    <row r="4061" spans="2:2" x14ac:dyDescent="0.25">
      <c r="B4061" s="1">
        <v>46279</v>
      </c>
    </row>
    <row r="4062" spans="2:2" x14ac:dyDescent="0.25">
      <c r="B4062" s="1">
        <v>46280</v>
      </c>
    </row>
    <row r="4063" spans="2:2" x14ac:dyDescent="0.25">
      <c r="B4063" s="1">
        <v>46281</v>
      </c>
    </row>
    <row r="4064" spans="2:2" x14ac:dyDescent="0.25">
      <c r="B4064" s="1">
        <v>46282</v>
      </c>
    </row>
    <row r="4065" spans="2:2" x14ac:dyDescent="0.25">
      <c r="B4065" s="1">
        <v>46283</v>
      </c>
    </row>
    <row r="4066" spans="2:2" x14ac:dyDescent="0.25">
      <c r="B4066" s="1">
        <v>46284</v>
      </c>
    </row>
    <row r="4067" spans="2:2" x14ac:dyDescent="0.25">
      <c r="B4067" s="1">
        <v>46285</v>
      </c>
    </row>
    <row r="4068" spans="2:2" x14ac:dyDescent="0.25">
      <c r="B4068" s="1">
        <v>46286</v>
      </c>
    </row>
    <row r="4069" spans="2:2" x14ac:dyDescent="0.25">
      <c r="B4069" s="1">
        <v>46287</v>
      </c>
    </row>
    <row r="4070" spans="2:2" x14ac:dyDescent="0.25">
      <c r="B4070" s="1">
        <v>46288</v>
      </c>
    </row>
    <row r="4071" spans="2:2" x14ac:dyDescent="0.25">
      <c r="B4071" s="1">
        <v>46289</v>
      </c>
    </row>
    <row r="4072" spans="2:2" x14ac:dyDescent="0.25">
      <c r="B4072" s="1">
        <v>46290</v>
      </c>
    </row>
    <row r="4073" spans="2:2" x14ac:dyDescent="0.25">
      <c r="B4073" s="1">
        <v>46291</v>
      </c>
    </row>
    <row r="4074" spans="2:2" x14ac:dyDescent="0.25">
      <c r="B4074" s="1">
        <v>46292</v>
      </c>
    </row>
    <row r="4075" spans="2:2" x14ac:dyDescent="0.25">
      <c r="B4075" s="1">
        <v>46293</v>
      </c>
    </row>
    <row r="4076" spans="2:2" x14ac:dyDescent="0.25">
      <c r="B4076" s="1">
        <v>46294</v>
      </c>
    </row>
    <row r="4077" spans="2:2" x14ac:dyDescent="0.25">
      <c r="B4077" s="1">
        <v>46295</v>
      </c>
    </row>
    <row r="4078" spans="2:2" x14ac:dyDescent="0.25">
      <c r="B4078" s="1">
        <v>46296</v>
      </c>
    </row>
    <row r="4079" spans="2:2" x14ac:dyDescent="0.25">
      <c r="B4079" s="1">
        <v>46297</v>
      </c>
    </row>
    <row r="4080" spans="2:2" x14ac:dyDescent="0.25">
      <c r="B4080" s="1">
        <v>46298</v>
      </c>
    </row>
    <row r="4081" spans="2:2" x14ac:dyDescent="0.25">
      <c r="B4081" s="1">
        <v>46299</v>
      </c>
    </row>
    <row r="4082" spans="2:2" x14ac:dyDescent="0.25">
      <c r="B4082" s="1">
        <v>46300</v>
      </c>
    </row>
    <row r="4083" spans="2:2" x14ac:dyDescent="0.25">
      <c r="B4083" s="1">
        <v>46301</v>
      </c>
    </row>
    <row r="4084" spans="2:2" x14ac:dyDescent="0.25">
      <c r="B4084" s="1">
        <v>46302</v>
      </c>
    </row>
    <row r="4085" spans="2:2" x14ac:dyDescent="0.25">
      <c r="B4085" s="1">
        <v>46303</v>
      </c>
    </row>
    <row r="4086" spans="2:2" x14ac:dyDescent="0.25">
      <c r="B4086" s="1">
        <v>46304</v>
      </c>
    </row>
    <row r="4087" spans="2:2" x14ac:dyDescent="0.25">
      <c r="B4087" s="1">
        <v>46305</v>
      </c>
    </row>
    <row r="4088" spans="2:2" x14ac:dyDescent="0.25">
      <c r="B4088" s="1">
        <v>46306</v>
      </c>
    </row>
    <row r="4089" spans="2:2" x14ac:dyDescent="0.25">
      <c r="B4089" s="1">
        <v>46307</v>
      </c>
    </row>
    <row r="4090" spans="2:2" x14ac:dyDescent="0.25">
      <c r="B4090" s="1">
        <v>46308</v>
      </c>
    </row>
    <row r="4091" spans="2:2" x14ac:dyDescent="0.25">
      <c r="B4091" s="1">
        <v>46309</v>
      </c>
    </row>
    <row r="4092" spans="2:2" x14ac:dyDescent="0.25">
      <c r="B4092" s="1">
        <v>46310</v>
      </c>
    </row>
    <row r="4093" spans="2:2" x14ac:dyDescent="0.25">
      <c r="B4093" s="1">
        <v>46311</v>
      </c>
    </row>
    <row r="4094" spans="2:2" x14ac:dyDescent="0.25">
      <c r="B4094" s="1">
        <v>46312</v>
      </c>
    </row>
    <row r="4095" spans="2:2" x14ac:dyDescent="0.25">
      <c r="B4095" s="1">
        <v>46313</v>
      </c>
    </row>
    <row r="4096" spans="2:2" x14ac:dyDescent="0.25">
      <c r="B4096" s="1">
        <v>46314</v>
      </c>
    </row>
    <row r="4097" spans="2:2" x14ac:dyDescent="0.25">
      <c r="B4097" s="1">
        <v>46315</v>
      </c>
    </row>
    <row r="4098" spans="2:2" x14ac:dyDescent="0.25">
      <c r="B4098" s="1">
        <v>46316</v>
      </c>
    </row>
    <row r="4099" spans="2:2" x14ac:dyDescent="0.25">
      <c r="B4099" s="1">
        <v>46317</v>
      </c>
    </row>
    <row r="4100" spans="2:2" x14ac:dyDescent="0.25">
      <c r="B4100" s="1">
        <v>46318</v>
      </c>
    </row>
    <row r="4101" spans="2:2" x14ac:dyDescent="0.25">
      <c r="B4101" s="1">
        <v>46319</v>
      </c>
    </row>
    <row r="4102" spans="2:2" x14ac:dyDescent="0.25">
      <c r="B4102" s="1">
        <v>46320</v>
      </c>
    </row>
    <row r="4103" spans="2:2" x14ac:dyDescent="0.25">
      <c r="B4103" s="1">
        <v>46321</v>
      </c>
    </row>
    <row r="4104" spans="2:2" x14ac:dyDescent="0.25">
      <c r="B4104" s="1">
        <v>46322</v>
      </c>
    </row>
    <row r="4105" spans="2:2" x14ac:dyDescent="0.25">
      <c r="B4105" s="1">
        <v>46323</v>
      </c>
    </row>
    <row r="4106" spans="2:2" x14ac:dyDescent="0.25">
      <c r="B4106" s="1">
        <v>46324</v>
      </c>
    </row>
    <row r="4107" spans="2:2" x14ac:dyDescent="0.25">
      <c r="B4107" s="1">
        <v>46325</v>
      </c>
    </row>
    <row r="4108" spans="2:2" x14ac:dyDescent="0.25">
      <c r="B4108" s="1">
        <v>46326</v>
      </c>
    </row>
    <row r="4109" spans="2:2" x14ac:dyDescent="0.25">
      <c r="B4109" s="1">
        <v>46327</v>
      </c>
    </row>
    <row r="4110" spans="2:2" x14ac:dyDescent="0.25">
      <c r="B4110" s="1">
        <v>46328</v>
      </c>
    </row>
    <row r="4111" spans="2:2" x14ac:dyDescent="0.25">
      <c r="B4111" s="1">
        <v>46329</v>
      </c>
    </row>
    <row r="4112" spans="2:2" x14ac:dyDescent="0.25">
      <c r="B4112" s="1">
        <v>46330</v>
      </c>
    </row>
    <row r="4113" spans="2:2" x14ac:dyDescent="0.25">
      <c r="B4113" s="1">
        <v>46331</v>
      </c>
    </row>
    <row r="4114" spans="2:2" x14ac:dyDescent="0.25">
      <c r="B4114" s="1">
        <v>46332</v>
      </c>
    </row>
    <row r="4115" spans="2:2" x14ac:dyDescent="0.25">
      <c r="B4115" s="1">
        <v>46333</v>
      </c>
    </row>
    <row r="4116" spans="2:2" x14ac:dyDescent="0.25">
      <c r="B4116" s="1">
        <v>46334</v>
      </c>
    </row>
    <row r="4117" spans="2:2" x14ac:dyDescent="0.25">
      <c r="B4117" s="1">
        <v>46335</v>
      </c>
    </row>
    <row r="4118" spans="2:2" x14ac:dyDescent="0.25">
      <c r="B4118" s="1">
        <v>46336</v>
      </c>
    </row>
    <row r="4119" spans="2:2" x14ac:dyDescent="0.25">
      <c r="B4119" s="1">
        <v>46337</v>
      </c>
    </row>
    <row r="4120" spans="2:2" x14ac:dyDescent="0.25">
      <c r="B4120" s="1">
        <v>46338</v>
      </c>
    </row>
    <row r="4121" spans="2:2" x14ac:dyDescent="0.25">
      <c r="B4121" s="1">
        <v>46339</v>
      </c>
    </row>
    <row r="4122" spans="2:2" x14ac:dyDescent="0.25">
      <c r="B4122" s="1">
        <v>46340</v>
      </c>
    </row>
    <row r="4123" spans="2:2" x14ac:dyDescent="0.25">
      <c r="B4123" s="1">
        <v>46341</v>
      </c>
    </row>
    <row r="4124" spans="2:2" x14ac:dyDescent="0.25">
      <c r="B4124" s="1">
        <v>46342</v>
      </c>
    </row>
    <row r="4125" spans="2:2" x14ac:dyDescent="0.25">
      <c r="B4125" s="1">
        <v>46343</v>
      </c>
    </row>
    <row r="4126" spans="2:2" x14ac:dyDescent="0.25">
      <c r="B4126" s="1">
        <v>46344</v>
      </c>
    </row>
    <row r="4127" spans="2:2" x14ac:dyDescent="0.25">
      <c r="B4127" s="1">
        <v>46345</v>
      </c>
    </row>
    <row r="4128" spans="2:2" x14ac:dyDescent="0.25">
      <c r="B4128" s="1">
        <v>46346</v>
      </c>
    </row>
    <row r="4129" spans="2:2" x14ac:dyDescent="0.25">
      <c r="B4129" s="1">
        <v>46347</v>
      </c>
    </row>
    <row r="4130" spans="2:2" x14ac:dyDescent="0.25">
      <c r="B4130" s="1">
        <v>46348</v>
      </c>
    </row>
    <row r="4131" spans="2:2" x14ac:dyDescent="0.25">
      <c r="B4131" s="1">
        <v>46349</v>
      </c>
    </row>
    <row r="4132" spans="2:2" x14ac:dyDescent="0.25">
      <c r="B4132" s="1">
        <v>46350</v>
      </c>
    </row>
    <row r="4133" spans="2:2" x14ac:dyDescent="0.25">
      <c r="B4133" s="1">
        <v>46351</v>
      </c>
    </row>
    <row r="4134" spans="2:2" x14ac:dyDescent="0.25">
      <c r="B4134" s="1">
        <v>46352</v>
      </c>
    </row>
    <row r="4135" spans="2:2" x14ac:dyDescent="0.25">
      <c r="B4135" s="1">
        <v>46353</v>
      </c>
    </row>
    <row r="4136" spans="2:2" x14ac:dyDescent="0.25">
      <c r="B4136" s="1">
        <v>46354</v>
      </c>
    </row>
    <row r="4137" spans="2:2" x14ac:dyDescent="0.25">
      <c r="B4137" s="1">
        <v>46355</v>
      </c>
    </row>
    <row r="4138" spans="2:2" x14ac:dyDescent="0.25">
      <c r="B4138" s="1">
        <v>46356</v>
      </c>
    </row>
    <row r="4139" spans="2:2" x14ac:dyDescent="0.25">
      <c r="B4139" s="1">
        <v>46357</v>
      </c>
    </row>
    <row r="4140" spans="2:2" x14ac:dyDescent="0.25">
      <c r="B4140" s="1">
        <v>46358</v>
      </c>
    </row>
    <row r="4141" spans="2:2" x14ac:dyDescent="0.25">
      <c r="B4141" s="1">
        <v>46359</v>
      </c>
    </row>
    <row r="4142" spans="2:2" x14ac:dyDescent="0.25">
      <c r="B4142" s="1">
        <v>46360</v>
      </c>
    </row>
    <row r="4143" spans="2:2" x14ac:dyDescent="0.25">
      <c r="B4143" s="1">
        <v>46361</v>
      </c>
    </row>
    <row r="4144" spans="2:2" x14ac:dyDescent="0.25">
      <c r="B4144" s="1">
        <v>46362</v>
      </c>
    </row>
    <row r="4145" spans="2:2" x14ac:dyDescent="0.25">
      <c r="B4145" s="1">
        <v>46363</v>
      </c>
    </row>
    <row r="4146" spans="2:2" x14ac:dyDescent="0.25">
      <c r="B4146" s="1">
        <v>46364</v>
      </c>
    </row>
    <row r="4147" spans="2:2" x14ac:dyDescent="0.25">
      <c r="B4147" s="1">
        <v>46365</v>
      </c>
    </row>
    <row r="4148" spans="2:2" x14ac:dyDescent="0.25">
      <c r="B4148" s="1">
        <v>46366</v>
      </c>
    </row>
    <row r="4149" spans="2:2" x14ac:dyDescent="0.25">
      <c r="B4149" s="1">
        <v>46367</v>
      </c>
    </row>
    <row r="4150" spans="2:2" x14ac:dyDescent="0.25">
      <c r="B4150" s="1">
        <v>46368</v>
      </c>
    </row>
    <row r="4151" spans="2:2" x14ac:dyDescent="0.25">
      <c r="B4151" s="1">
        <v>46369</v>
      </c>
    </row>
    <row r="4152" spans="2:2" x14ac:dyDescent="0.25">
      <c r="B4152" s="1">
        <v>46370</v>
      </c>
    </row>
    <row r="4153" spans="2:2" x14ac:dyDescent="0.25">
      <c r="B4153" s="1">
        <v>46371</v>
      </c>
    </row>
    <row r="4154" spans="2:2" x14ac:dyDescent="0.25">
      <c r="B4154" s="1">
        <v>46372</v>
      </c>
    </row>
    <row r="4155" spans="2:2" x14ac:dyDescent="0.25">
      <c r="B4155" s="1">
        <v>46373</v>
      </c>
    </row>
    <row r="4156" spans="2:2" x14ac:dyDescent="0.25">
      <c r="B4156" s="1">
        <v>46374</v>
      </c>
    </row>
    <row r="4157" spans="2:2" x14ac:dyDescent="0.25">
      <c r="B4157" s="1">
        <v>46375</v>
      </c>
    </row>
    <row r="4158" spans="2:2" x14ac:dyDescent="0.25">
      <c r="B4158" s="1">
        <v>46376</v>
      </c>
    </row>
    <row r="4159" spans="2:2" x14ac:dyDescent="0.25">
      <c r="B4159" s="1">
        <v>46377</v>
      </c>
    </row>
    <row r="4160" spans="2:2" x14ac:dyDescent="0.25">
      <c r="B4160" s="1">
        <v>46378</v>
      </c>
    </row>
    <row r="4161" spans="2:2" x14ac:dyDescent="0.25">
      <c r="B4161" s="1">
        <v>46379</v>
      </c>
    </row>
    <row r="4162" spans="2:2" x14ac:dyDescent="0.25">
      <c r="B4162" s="1">
        <v>46380</v>
      </c>
    </row>
    <row r="4163" spans="2:2" x14ac:dyDescent="0.25">
      <c r="B4163" s="1">
        <v>46381</v>
      </c>
    </row>
    <row r="4164" spans="2:2" x14ac:dyDescent="0.25">
      <c r="B4164" s="1">
        <v>46382</v>
      </c>
    </row>
    <row r="4165" spans="2:2" x14ac:dyDescent="0.25">
      <c r="B4165" s="1">
        <v>46383</v>
      </c>
    </row>
    <row r="4166" spans="2:2" x14ac:dyDescent="0.25">
      <c r="B4166" s="1">
        <v>46384</v>
      </c>
    </row>
    <row r="4167" spans="2:2" x14ac:dyDescent="0.25">
      <c r="B4167" s="1">
        <v>46385</v>
      </c>
    </row>
    <row r="4168" spans="2:2" x14ac:dyDescent="0.25">
      <c r="B4168" s="1">
        <v>46386</v>
      </c>
    </row>
    <row r="4169" spans="2:2" x14ac:dyDescent="0.25">
      <c r="B4169" s="1">
        <v>46387</v>
      </c>
    </row>
    <row r="4170" spans="2:2" x14ac:dyDescent="0.25">
      <c r="B4170" s="1">
        <v>46388</v>
      </c>
    </row>
    <row r="4171" spans="2:2" x14ac:dyDescent="0.25">
      <c r="B4171" s="1">
        <v>46389</v>
      </c>
    </row>
    <row r="4172" spans="2:2" x14ac:dyDescent="0.25">
      <c r="B4172" s="1">
        <v>46390</v>
      </c>
    </row>
    <row r="4173" spans="2:2" x14ac:dyDescent="0.25">
      <c r="B4173" s="1">
        <v>46391</v>
      </c>
    </row>
    <row r="4174" spans="2:2" x14ac:dyDescent="0.25">
      <c r="B4174" s="1">
        <v>46392</v>
      </c>
    </row>
    <row r="4175" spans="2:2" x14ac:dyDescent="0.25">
      <c r="B4175" s="1">
        <v>46393</v>
      </c>
    </row>
    <row r="4176" spans="2:2" x14ac:dyDescent="0.25">
      <c r="B4176" s="1">
        <v>46394</v>
      </c>
    </row>
    <row r="4177" spans="2:2" x14ac:dyDescent="0.25">
      <c r="B4177" s="1">
        <v>46395</v>
      </c>
    </row>
    <row r="4178" spans="2:2" x14ac:dyDescent="0.25">
      <c r="B4178" s="1">
        <v>46396</v>
      </c>
    </row>
    <row r="4179" spans="2:2" x14ac:dyDescent="0.25">
      <c r="B4179" s="1">
        <v>46397</v>
      </c>
    </row>
    <row r="4180" spans="2:2" x14ac:dyDescent="0.25">
      <c r="B4180" s="1">
        <v>46398</v>
      </c>
    </row>
    <row r="4181" spans="2:2" x14ac:dyDescent="0.25">
      <c r="B4181" s="1">
        <v>46399</v>
      </c>
    </row>
    <row r="4182" spans="2:2" x14ac:dyDescent="0.25">
      <c r="B4182" s="1">
        <v>46400</v>
      </c>
    </row>
    <row r="4183" spans="2:2" x14ac:dyDescent="0.25">
      <c r="B4183" s="1">
        <v>46401</v>
      </c>
    </row>
    <row r="4184" spans="2:2" x14ac:dyDescent="0.25">
      <c r="B4184" s="1">
        <v>46402</v>
      </c>
    </row>
    <row r="4185" spans="2:2" x14ac:dyDescent="0.25">
      <c r="B4185" s="1">
        <v>46403</v>
      </c>
    </row>
    <row r="4186" spans="2:2" x14ac:dyDescent="0.25">
      <c r="B4186" s="1">
        <v>46404</v>
      </c>
    </row>
    <row r="4187" spans="2:2" x14ac:dyDescent="0.25">
      <c r="B4187" s="1">
        <v>46405</v>
      </c>
    </row>
    <row r="4188" spans="2:2" x14ac:dyDescent="0.25">
      <c r="B4188" s="1">
        <v>46406</v>
      </c>
    </row>
    <row r="4189" spans="2:2" x14ac:dyDescent="0.25">
      <c r="B4189" s="1">
        <v>46407</v>
      </c>
    </row>
    <row r="4190" spans="2:2" x14ac:dyDescent="0.25">
      <c r="B4190" s="1">
        <v>46408</v>
      </c>
    </row>
    <row r="4191" spans="2:2" x14ac:dyDescent="0.25">
      <c r="B4191" s="1">
        <v>46409</v>
      </c>
    </row>
    <row r="4192" spans="2:2" x14ac:dyDescent="0.25">
      <c r="B4192" s="1">
        <v>46410</v>
      </c>
    </row>
    <row r="4193" spans="2:2" x14ac:dyDescent="0.25">
      <c r="B4193" s="1">
        <v>46411</v>
      </c>
    </row>
    <row r="4194" spans="2:2" x14ac:dyDescent="0.25">
      <c r="B4194" s="1">
        <v>46412</v>
      </c>
    </row>
    <row r="4195" spans="2:2" x14ac:dyDescent="0.25">
      <c r="B4195" s="1">
        <v>46413</v>
      </c>
    </row>
    <row r="4196" spans="2:2" x14ac:dyDescent="0.25">
      <c r="B4196" s="1">
        <v>46414</v>
      </c>
    </row>
    <row r="4197" spans="2:2" x14ac:dyDescent="0.25">
      <c r="B4197" s="1">
        <v>46415</v>
      </c>
    </row>
    <row r="4198" spans="2:2" x14ac:dyDescent="0.25">
      <c r="B4198" s="1">
        <v>46416</v>
      </c>
    </row>
    <row r="4199" spans="2:2" x14ac:dyDescent="0.25">
      <c r="B4199" s="1">
        <v>46417</v>
      </c>
    </row>
    <row r="4200" spans="2:2" x14ac:dyDescent="0.25">
      <c r="B4200" s="1">
        <v>46418</v>
      </c>
    </row>
    <row r="4201" spans="2:2" x14ac:dyDescent="0.25">
      <c r="B4201" s="1">
        <v>46419</v>
      </c>
    </row>
    <row r="4202" spans="2:2" x14ac:dyDescent="0.25">
      <c r="B4202" s="1">
        <v>46420</v>
      </c>
    </row>
    <row r="4203" spans="2:2" x14ac:dyDescent="0.25">
      <c r="B4203" s="1">
        <v>46421</v>
      </c>
    </row>
    <row r="4204" spans="2:2" x14ac:dyDescent="0.25">
      <c r="B4204" s="1">
        <v>46422</v>
      </c>
    </row>
    <row r="4205" spans="2:2" x14ac:dyDescent="0.25">
      <c r="B4205" s="1">
        <v>46423</v>
      </c>
    </row>
    <row r="4206" spans="2:2" x14ac:dyDescent="0.25">
      <c r="B4206" s="1">
        <v>46424</v>
      </c>
    </row>
    <row r="4207" spans="2:2" x14ac:dyDescent="0.25">
      <c r="B4207" s="1">
        <v>46425</v>
      </c>
    </row>
    <row r="4208" spans="2:2" x14ac:dyDescent="0.25">
      <c r="B4208" s="1">
        <v>46426</v>
      </c>
    </row>
    <row r="4209" spans="2:2" x14ac:dyDescent="0.25">
      <c r="B4209" s="1">
        <v>46427</v>
      </c>
    </row>
    <row r="4210" spans="2:2" x14ac:dyDescent="0.25">
      <c r="B4210" s="1">
        <v>46428</v>
      </c>
    </row>
    <row r="4211" spans="2:2" x14ac:dyDescent="0.25">
      <c r="B4211" s="1">
        <v>46429</v>
      </c>
    </row>
    <row r="4212" spans="2:2" x14ac:dyDescent="0.25">
      <c r="B4212" s="1">
        <v>46430</v>
      </c>
    </row>
    <row r="4213" spans="2:2" x14ac:dyDescent="0.25">
      <c r="B4213" s="1">
        <v>46431</v>
      </c>
    </row>
    <row r="4214" spans="2:2" x14ac:dyDescent="0.25">
      <c r="B4214" s="1">
        <v>46432</v>
      </c>
    </row>
    <row r="4215" spans="2:2" x14ac:dyDescent="0.25">
      <c r="B4215" s="1">
        <v>46433</v>
      </c>
    </row>
    <row r="4216" spans="2:2" x14ac:dyDescent="0.25">
      <c r="B4216" s="1">
        <v>46434</v>
      </c>
    </row>
    <row r="4217" spans="2:2" x14ac:dyDescent="0.25">
      <c r="B4217" s="1">
        <v>46435</v>
      </c>
    </row>
    <row r="4218" spans="2:2" x14ac:dyDescent="0.25">
      <c r="B4218" s="1">
        <v>46436</v>
      </c>
    </row>
    <row r="4219" spans="2:2" x14ac:dyDescent="0.25">
      <c r="B4219" s="1">
        <v>46437</v>
      </c>
    </row>
    <row r="4220" spans="2:2" x14ac:dyDescent="0.25">
      <c r="B4220" s="1">
        <v>46438</v>
      </c>
    </row>
    <row r="4221" spans="2:2" x14ac:dyDescent="0.25">
      <c r="B4221" s="1">
        <v>46439</v>
      </c>
    </row>
    <row r="4222" spans="2:2" x14ac:dyDescent="0.25">
      <c r="B4222" s="1">
        <v>46440</v>
      </c>
    </row>
    <row r="4223" spans="2:2" x14ac:dyDescent="0.25">
      <c r="B4223" s="1">
        <v>46441</v>
      </c>
    </row>
    <row r="4224" spans="2:2" x14ac:dyDescent="0.25">
      <c r="B4224" s="1">
        <v>46442</v>
      </c>
    </row>
    <row r="4225" spans="2:2" x14ac:dyDescent="0.25">
      <c r="B4225" s="1">
        <v>46443</v>
      </c>
    </row>
    <row r="4226" spans="2:2" x14ac:dyDescent="0.25">
      <c r="B4226" s="1">
        <v>46444</v>
      </c>
    </row>
    <row r="4227" spans="2:2" x14ac:dyDescent="0.25">
      <c r="B4227" s="1">
        <v>46445</v>
      </c>
    </row>
    <row r="4228" spans="2:2" x14ac:dyDescent="0.25">
      <c r="B4228" s="1">
        <v>46446</v>
      </c>
    </row>
    <row r="4229" spans="2:2" x14ac:dyDescent="0.25">
      <c r="B4229" s="1">
        <v>46447</v>
      </c>
    </row>
    <row r="4230" spans="2:2" x14ac:dyDescent="0.25">
      <c r="B4230" s="1">
        <v>46448</v>
      </c>
    </row>
    <row r="4231" spans="2:2" x14ac:dyDescent="0.25">
      <c r="B4231" s="1">
        <v>46449</v>
      </c>
    </row>
    <row r="4232" spans="2:2" x14ac:dyDescent="0.25">
      <c r="B4232" s="1">
        <v>46450</v>
      </c>
    </row>
    <row r="4233" spans="2:2" x14ac:dyDescent="0.25">
      <c r="B4233" s="1">
        <v>46451</v>
      </c>
    </row>
    <row r="4234" spans="2:2" x14ac:dyDescent="0.25">
      <c r="B4234" s="1">
        <v>46452</v>
      </c>
    </row>
    <row r="4235" spans="2:2" x14ac:dyDescent="0.25">
      <c r="B4235" s="1">
        <v>46453</v>
      </c>
    </row>
    <row r="4236" spans="2:2" x14ac:dyDescent="0.25">
      <c r="B4236" s="1">
        <v>46454</v>
      </c>
    </row>
    <row r="4237" spans="2:2" x14ac:dyDescent="0.25">
      <c r="B4237" s="1">
        <v>46455</v>
      </c>
    </row>
    <row r="4238" spans="2:2" x14ac:dyDescent="0.25">
      <c r="B4238" s="1">
        <v>46456</v>
      </c>
    </row>
    <row r="4239" spans="2:2" x14ac:dyDescent="0.25">
      <c r="B4239" s="1">
        <v>46457</v>
      </c>
    </row>
    <row r="4240" spans="2:2" x14ac:dyDescent="0.25">
      <c r="B4240" s="1">
        <v>46458</v>
      </c>
    </row>
    <row r="4241" spans="2:2" x14ac:dyDescent="0.25">
      <c r="B4241" s="1">
        <v>46459</v>
      </c>
    </row>
    <row r="4242" spans="2:2" x14ac:dyDescent="0.25">
      <c r="B4242" s="1">
        <v>46460</v>
      </c>
    </row>
    <row r="4243" spans="2:2" x14ac:dyDescent="0.25">
      <c r="B4243" s="1">
        <v>46461</v>
      </c>
    </row>
    <row r="4244" spans="2:2" x14ac:dyDescent="0.25">
      <c r="B4244" s="1">
        <v>46462</v>
      </c>
    </row>
    <row r="4245" spans="2:2" x14ac:dyDescent="0.25">
      <c r="B4245" s="1">
        <v>46463</v>
      </c>
    </row>
    <row r="4246" spans="2:2" x14ac:dyDescent="0.25">
      <c r="B4246" s="1">
        <v>46464</v>
      </c>
    </row>
    <row r="4247" spans="2:2" x14ac:dyDescent="0.25">
      <c r="B4247" s="1">
        <v>46465</v>
      </c>
    </row>
    <row r="4248" spans="2:2" x14ac:dyDescent="0.25">
      <c r="B4248" s="1">
        <v>46466</v>
      </c>
    </row>
    <row r="4249" spans="2:2" x14ac:dyDescent="0.25">
      <c r="B4249" s="1">
        <v>46467</v>
      </c>
    </row>
    <row r="4250" spans="2:2" x14ac:dyDescent="0.25">
      <c r="B4250" s="1">
        <v>46468</v>
      </c>
    </row>
    <row r="4251" spans="2:2" x14ac:dyDescent="0.25">
      <c r="B4251" s="1">
        <v>46469</v>
      </c>
    </row>
    <row r="4252" spans="2:2" x14ac:dyDescent="0.25">
      <c r="B4252" s="1">
        <v>46470</v>
      </c>
    </row>
    <row r="4253" spans="2:2" x14ac:dyDescent="0.25">
      <c r="B4253" s="1">
        <v>46471</v>
      </c>
    </row>
    <row r="4254" spans="2:2" x14ac:dyDescent="0.25">
      <c r="B4254" s="1">
        <v>46472</v>
      </c>
    </row>
    <row r="4255" spans="2:2" x14ac:dyDescent="0.25">
      <c r="B4255" s="1">
        <v>46473</v>
      </c>
    </row>
    <row r="4256" spans="2:2" x14ac:dyDescent="0.25">
      <c r="B4256" s="1">
        <v>46474</v>
      </c>
    </row>
    <row r="4257" spans="2:2" x14ac:dyDescent="0.25">
      <c r="B4257" s="1">
        <v>46475</v>
      </c>
    </row>
    <row r="4258" spans="2:2" x14ac:dyDescent="0.25">
      <c r="B4258" s="1">
        <v>46476</v>
      </c>
    </row>
    <row r="4259" spans="2:2" x14ac:dyDescent="0.25">
      <c r="B4259" s="1">
        <v>46477</v>
      </c>
    </row>
    <row r="4260" spans="2:2" x14ac:dyDescent="0.25">
      <c r="B4260" s="1">
        <v>46478</v>
      </c>
    </row>
    <row r="4261" spans="2:2" x14ac:dyDescent="0.25">
      <c r="B4261" s="1">
        <v>46479</v>
      </c>
    </row>
    <row r="4262" spans="2:2" x14ac:dyDescent="0.25">
      <c r="B4262" s="1">
        <v>46480</v>
      </c>
    </row>
    <row r="4263" spans="2:2" x14ac:dyDescent="0.25">
      <c r="B4263" s="1">
        <v>46481</v>
      </c>
    </row>
    <row r="4264" spans="2:2" x14ac:dyDescent="0.25">
      <c r="B4264" s="1">
        <v>46482</v>
      </c>
    </row>
    <row r="4265" spans="2:2" x14ac:dyDescent="0.25">
      <c r="B4265" s="1">
        <v>46483</v>
      </c>
    </row>
    <row r="4266" spans="2:2" x14ac:dyDescent="0.25">
      <c r="B4266" s="1">
        <v>46484</v>
      </c>
    </row>
    <row r="4267" spans="2:2" x14ac:dyDescent="0.25">
      <c r="B4267" s="1">
        <v>46485</v>
      </c>
    </row>
    <row r="4268" spans="2:2" x14ac:dyDescent="0.25">
      <c r="B4268" s="1">
        <v>46486</v>
      </c>
    </row>
    <row r="4269" spans="2:2" x14ac:dyDescent="0.25">
      <c r="B4269" s="1">
        <v>46487</v>
      </c>
    </row>
    <row r="4270" spans="2:2" x14ac:dyDescent="0.25">
      <c r="B4270" s="1">
        <v>46488</v>
      </c>
    </row>
    <row r="4271" spans="2:2" x14ac:dyDescent="0.25">
      <c r="B4271" s="1">
        <v>46489</v>
      </c>
    </row>
    <row r="4272" spans="2:2" x14ac:dyDescent="0.25">
      <c r="B4272" s="1">
        <v>46490</v>
      </c>
    </row>
    <row r="4273" spans="2:2" x14ac:dyDescent="0.25">
      <c r="B4273" s="1">
        <v>46491</v>
      </c>
    </row>
    <row r="4274" spans="2:2" x14ac:dyDescent="0.25">
      <c r="B4274" s="1">
        <v>46492</v>
      </c>
    </row>
    <row r="4275" spans="2:2" x14ac:dyDescent="0.25">
      <c r="B4275" s="1">
        <v>46493</v>
      </c>
    </row>
    <row r="4276" spans="2:2" x14ac:dyDescent="0.25">
      <c r="B4276" s="1">
        <v>46494</v>
      </c>
    </row>
    <row r="4277" spans="2:2" x14ac:dyDescent="0.25">
      <c r="B4277" s="1">
        <v>46495</v>
      </c>
    </row>
    <row r="4278" spans="2:2" x14ac:dyDescent="0.25">
      <c r="B4278" s="1">
        <v>46496</v>
      </c>
    </row>
    <row r="4279" spans="2:2" x14ac:dyDescent="0.25">
      <c r="B4279" s="1">
        <v>46497</v>
      </c>
    </row>
    <row r="4280" spans="2:2" x14ac:dyDescent="0.25">
      <c r="B4280" s="1">
        <v>46498</v>
      </c>
    </row>
    <row r="4281" spans="2:2" x14ac:dyDescent="0.25">
      <c r="B4281" s="1">
        <v>46499</v>
      </c>
    </row>
    <row r="4282" spans="2:2" x14ac:dyDescent="0.25">
      <c r="B4282" s="1">
        <v>46500</v>
      </c>
    </row>
    <row r="4283" spans="2:2" x14ac:dyDescent="0.25">
      <c r="B4283" s="1">
        <v>46501</v>
      </c>
    </row>
    <row r="4284" spans="2:2" x14ac:dyDescent="0.25">
      <c r="B4284" s="1">
        <v>46502</v>
      </c>
    </row>
    <row r="4285" spans="2:2" x14ac:dyDescent="0.25">
      <c r="B4285" s="1">
        <v>46503</v>
      </c>
    </row>
    <row r="4286" spans="2:2" x14ac:dyDescent="0.25">
      <c r="B4286" s="1">
        <v>46504</v>
      </c>
    </row>
    <row r="4287" spans="2:2" x14ac:dyDescent="0.25">
      <c r="B4287" s="1">
        <v>46505</v>
      </c>
    </row>
    <row r="4288" spans="2:2" x14ac:dyDescent="0.25">
      <c r="B4288" s="1">
        <v>46506</v>
      </c>
    </row>
    <row r="4289" spans="2:2" x14ac:dyDescent="0.25">
      <c r="B4289" s="1">
        <v>46507</v>
      </c>
    </row>
    <row r="4290" spans="2:2" x14ac:dyDescent="0.25">
      <c r="B4290" s="1">
        <v>46508</v>
      </c>
    </row>
    <row r="4291" spans="2:2" x14ac:dyDescent="0.25">
      <c r="B4291" s="1">
        <v>46509</v>
      </c>
    </row>
    <row r="4292" spans="2:2" x14ac:dyDescent="0.25">
      <c r="B4292" s="1">
        <v>46510</v>
      </c>
    </row>
    <row r="4293" spans="2:2" x14ac:dyDescent="0.25">
      <c r="B4293" s="1">
        <v>46511</v>
      </c>
    </row>
    <row r="4294" spans="2:2" x14ac:dyDescent="0.25">
      <c r="B4294" s="1">
        <v>46512</v>
      </c>
    </row>
    <row r="4295" spans="2:2" x14ac:dyDescent="0.25">
      <c r="B4295" s="1">
        <v>46513</v>
      </c>
    </row>
    <row r="4296" spans="2:2" x14ac:dyDescent="0.25">
      <c r="B4296" s="1">
        <v>46514</v>
      </c>
    </row>
    <row r="4297" spans="2:2" x14ac:dyDescent="0.25">
      <c r="B4297" s="1">
        <v>46515</v>
      </c>
    </row>
    <row r="4298" spans="2:2" x14ac:dyDescent="0.25">
      <c r="B4298" s="1">
        <v>46516</v>
      </c>
    </row>
    <row r="4299" spans="2:2" x14ac:dyDescent="0.25">
      <c r="B4299" s="1">
        <v>46517</v>
      </c>
    </row>
    <row r="4300" spans="2:2" x14ac:dyDescent="0.25">
      <c r="B4300" s="1">
        <v>46518</v>
      </c>
    </row>
    <row r="4301" spans="2:2" x14ac:dyDescent="0.25">
      <c r="B4301" s="1">
        <v>46519</v>
      </c>
    </row>
    <row r="4302" spans="2:2" x14ac:dyDescent="0.25">
      <c r="B4302" s="1">
        <v>46520</v>
      </c>
    </row>
    <row r="4303" spans="2:2" x14ac:dyDescent="0.25">
      <c r="B4303" s="1">
        <v>46521</v>
      </c>
    </row>
    <row r="4304" spans="2:2" x14ac:dyDescent="0.25">
      <c r="B4304" s="1">
        <v>46522</v>
      </c>
    </row>
    <row r="4305" spans="2:2" x14ac:dyDescent="0.25">
      <c r="B4305" s="1">
        <v>46523</v>
      </c>
    </row>
    <row r="4306" spans="2:2" x14ac:dyDescent="0.25">
      <c r="B4306" s="1">
        <v>46524</v>
      </c>
    </row>
    <row r="4307" spans="2:2" x14ac:dyDescent="0.25">
      <c r="B4307" s="1">
        <v>46525</v>
      </c>
    </row>
    <row r="4308" spans="2:2" x14ac:dyDescent="0.25">
      <c r="B4308" s="1">
        <v>46526</v>
      </c>
    </row>
    <row r="4309" spans="2:2" x14ac:dyDescent="0.25">
      <c r="B4309" s="1">
        <v>46527</v>
      </c>
    </row>
    <row r="4310" spans="2:2" x14ac:dyDescent="0.25">
      <c r="B4310" s="1">
        <v>46528</v>
      </c>
    </row>
    <row r="4311" spans="2:2" x14ac:dyDescent="0.25">
      <c r="B4311" s="1">
        <v>46529</v>
      </c>
    </row>
    <row r="4312" spans="2:2" x14ac:dyDescent="0.25">
      <c r="B4312" s="1">
        <v>46530</v>
      </c>
    </row>
    <row r="4313" spans="2:2" x14ac:dyDescent="0.25">
      <c r="B4313" s="1">
        <v>46531</v>
      </c>
    </row>
    <row r="4314" spans="2:2" x14ac:dyDescent="0.25">
      <c r="B4314" s="1">
        <v>46532</v>
      </c>
    </row>
    <row r="4315" spans="2:2" x14ac:dyDescent="0.25">
      <c r="B4315" s="1">
        <v>46533</v>
      </c>
    </row>
    <row r="4316" spans="2:2" x14ac:dyDescent="0.25">
      <c r="B4316" s="1">
        <v>46534</v>
      </c>
    </row>
    <row r="4317" spans="2:2" x14ac:dyDescent="0.25">
      <c r="B4317" s="1">
        <v>46535</v>
      </c>
    </row>
    <row r="4318" spans="2:2" x14ac:dyDescent="0.25">
      <c r="B4318" s="1">
        <v>46536</v>
      </c>
    </row>
    <row r="4319" spans="2:2" x14ac:dyDescent="0.25">
      <c r="B4319" s="1">
        <v>46537</v>
      </c>
    </row>
    <row r="4320" spans="2:2" x14ac:dyDescent="0.25">
      <c r="B4320" s="1">
        <v>46538</v>
      </c>
    </row>
    <row r="4321" spans="2:2" x14ac:dyDescent="0.25">
      <c r="B4321" s="1">
        <v>46539</v>
      </c>
    </row>
    <row r="4322" spans="2:2" x14ac:dyDescent="0.25">
      <c r="B4322" s="1">
        <v>46540</v>
      </c>
    </row>
    <row r="4323" spans="2:2" x14ac:dyDescent="0.25">
      <c r="B4323" s="1">
        <v>46541</v>
      </c>
    </row>
    <row r="4324" spans="2:2" x14ac:dyDescent="0.25">
      <c r="B4324" s="1">
        <v>46542</v>
      </c>
    </row>
    <row r="4325" spans="2:2" x14ac:dyDescent="0.25">
      <c r="B4325" s="1">
        <v>46543</v>
      </c>
    </row>
    <row r="4326" spans="2:2" x14ac:dyDescent="0.25">
      <c r="B4326" s="1">
        <v>46544</v>
      </c>
    </row>
    <row r="4327" spans="2:2" x14ac:dyDescent="0.25">
      <c r="B4327" s="1">
        <v>46545</v>
      </c>
    </row>
    <row r="4328" spans="2:2" x14ac:dyDescent="0.25">
      <c r="B4328" s="1">
        <v>46546</v>
      </c>
    </row>
    <row r="4329" spans="2:2" x14ac:dyDescent="0.25">
      <c r="B4329" s="1">
        <v>46547</v>
      </c>
    </row>
    <row r="4330" spans="2:2" x14ac:dyDescent="0.25">
      <c r="B4330" s="1">
        <v>46548</v>
      </c>
    </row>
    <row r="4331" spans="2:2" x14ac:dyDescent="0.25">
      <c r="B4331" s="1">
        <v>46549</v>
      </c>
    </row>
    <row r="4332" spans="2:2" x14ac:dyDescent="0.25">
      <c r="B4332" s="1">
        <v>46550</v>
      </c>
    </row>
    <row r="4333" spans="2:2" x14ac:dyDescent="0.25">
      <c r="B4333" s="1">
        <v>46551</v>
      </c>
    </row>
    <row r="4334" spans="2:2" x14ac:dyDescent="0.25">
      <c r="B4334" s="1">
        <v>46552</v>
      </c>
    </row>
    <row r="4335" spans="2:2" x14ac:dyDescent="0.25">
      <c r="B4335" s="1">
        <v>46553</v>
      </c>
    </row>
    <row r="4336" spans="2:2" x14ac:dyDescent="0.25">
      <c r="B4336" s="1">
        <v>46554</v>
      </c>
    </row>
    <row r="4337" spans="2:2" x14ac:dyDescent="0.25">
      <c r="B4337" s="1">
        <v>46555</v>
      </c>
    </row>
    <row r="4338" spans="2:2" x14ac:dyDescent="0.25">
      <c r="B4338" s="1">
        <v>46556</v>
      </c>
    </row>
    <row r="4339" spans="2:2" x14ac:dyDescent="0.25">
      <c r="B4339" s="1">
        <v>46557</v>
      </c>
    </row>
    <row r="4340" spans="2:2" x14ac:dyDescent="0.25">
      <c r="B4340" s="1">
        <v>46558</v>
      </c>
    </row>
    <row r="4341" spans="2:2" x14ac:dyDescent="0.25">
      <c r="B4341" s="1">
        <v>46559</v>
      </c>
    </row>
    <row r="4342" spans="2:2" x14ac:dyDescent="0.25">
      <c r="B4342" s="1">
        <v>46560</v>
      </c>
    </row>
    <row r="4343" spans="2:2" x14ac:dyDescent="0.25">
      <c r="B4343" s="1">
        <v>46561</v>
      </c>
    </row>
    <row r="4344" spans="2:2" x14ac:dyDescent="0.25">
      <c r="B4344" s="1">
        <v>46562</v>
      </c>
    </row>
    <row r="4345" spans="2:2" x14ac:dyDescent="0.25">
      <c r="B4345" s="1">
        <v>46563</v>
      </c>
    </row>
    <row r="4346" spans="2:2" x14ac:dyDescent="0.25">
      <c r="B4346" s="1">
        <v>46564</v>
      </c>
    </row>
    <row r="4347" spans="2:2" x14ac:dyDescent="0.25">
      <c r="B4347" s="1">
        <v>46565</v>
      </c>
    </row>
    <row r="4348" spans="2:2" x14ac:dyDescent="0.25">
      <c r="B4348" s="1">
        <v>46566</v>
      </c>
    </row>
    <row r="4349" spans="2:2" x14ac:dyDescent="0.25">
      <c r="B4349" s="1">
        <v>46567</v>
      </c>
    </row>
    <row r="4350" spans="2:2" x14ac:dyDescent="0.25">
      <c r="B4350" s="1">
        <v>46568</v>
      </c>
    </row>
    <row r="4351" spans="2:2" x14ac:dyDescent="0.25">
      <c r="B4351" s="1">
        <v>46569</v>
      </c>
    </row>
    <row r="4352" spans="2:2" x14ac:dyDescent="0.25">
      <c r="B4352" s="1">
        <v>46570</v>
      </c>
    </row>
    <row r="4353" spans="2:2" x14ac:dyDescent="0.25">
      <c r="B4353" s="1">
        <v>46571</v>
      </c>
    </row>
    <row r="4354" spans="2:2" x14ac:dyDescent="0.25">
      <c r="B4354" s="1">
        <v>46572</v>
      </c>
    </row>
    <row r="4355" spans="2:2" x14ac:dyDescent="0.25">
      <c r="B4355" s="1">
        <v>46573</v>
      </c>
    </row>
    <row r="4356" spans="2:2" x14ac:dyDescent="0.25">
      <c r="B4356" s="1">
        <v>46574</v>
      </c>
    </row>
    <row r="4357" spans="2:2" x14ac:dyDescent="0.25">
      <c r="B4357" s="1">
        <v>46575</v>
      </c>
    </row>
    <row r="4358" spans="2:2" x14ac:dyDescent="0.25">
      <c r="B4358" s="1">
        <v>46576</v>
      </c>
    </row>
    <row r="4359" spans="2:2" x14ac:dyDescent="0.25">
      <c r="B4359" s="1">
        <v>46577</v>
      </c>
    </row>
    <row r="4360" spans="2:2" x14ac:dyDescent="0.25">
      <c r="B4360" s="1">
        <v>46578</v>
      </c>
    </row>
    <row r="4361" spans="2:2" x14ac:dyDescent="0.25">
      <c r="B4361" s="1">
        <v>46579</v>
      </c>
    </row>
    <row r="4362" spans="2:2" x14ac:dyDescent="0.25">
      <c r="B4362" s="1">
        <v>46580</v>
      </c>
    </row>
    <row r="4363" spans="2:2" x14ac:dyDescent="0.25">
      <c r="B4363" s="1">
        <v>46581</v>
      </c>
    </row>
    <row r="4364" spans="2:2" x14ac:dyDescent="0.25">
      <c r="B4364" s="1">
        <v>46582</v>
      </c>
    </row>
    <row r="4365" spans="2:2" x14ac:dyDescent="0.25">
      <c r="B4365" s="1">
        <v>46583</v>
      </c>
    </row>
    <row r="4366" spans="2:2" x14ac:dyDescent="0.25">
      <c r="B4366" s="1">
        <v>46584</v>
      </c>
    </row>
    <row r="4367" spans="2:2" x14ac:dyDescent="0.25">
      <c r="B4367" s="1">
        <v>46585</v>
      </c>
    </row>
    <row r="4368" spans="2:2" x14ac:dyDescent="0.25">
      <c r="B4368" s="1">
        <v>46586</v>
      </c>
    </row>
    <row r="4369" spans="2:2" x14ac:dyDescent="0.25">
      <c r="B4369" s="1">
        <v>46587</v>
      </c>
    </row>
    <row r="4370" spans="2:2" x14ac:dyDescent="0.25">
      <c r="B4370" s="1">
        <v>46588</v>
      </c>
    </row>
    <row r="4371" spans="2:2" x14ac:dyDescent="0.25">
      <c r="B4371" s="1">
        <v>46589</v>
      </c>
    </row>
    <row r="4372" spans="2:2" x14ac:dyDescent="0.25">
      <c r="B4372" s="1">
        <v>46590</v>
      </c>
    </row>
    <row r="4373" spans="2:2" x14ac:dyDescent="0.25">
      <c r="B4373" s="1">
        <v>46591</v>
      </c>
    </row>
    <row r="4374" spans="2:2" x14ac:dyDescent="0.25">
      <c r="B4374" s="1">
        <v>46592</v>
      </c>
    </row>
    <row r="4375" spans="2:2" x14ac:dyDescent="0.25">
      <c r="B4375" s="1">
        <v>46593</v>
      </c>
    </row>
    <row r="4376" spans="2:2" x14ac:dyDescent="0.25">
      <c r="B4376" s="1">
        <v>46594</v>
      </c>
    </row>
    <row r="4377" spans="2:2" x14ac:dyDescent="0.25">
      <c r="B4377" s="1">
        <v>46595</v>
      </c>
    </row>
    <row r="4378" spans="2:2" x14ac:dyDescent="0.25">
      <c r="B4378" s="1">
        <v>46596</v>
      </c>
    </row>
    <row r="4379" spans="2:2" x14ac:dyDescent="0.25">
      <c r="B4379" s="1">
        <v>46597</v>
      </c>
    </row>
    <row r="4380" spans="2:2" x14ac:dyDescent="0.25">
      <c r="B4380" s="1">
        <v>46598</v>
      </c>
    </row>
    <row r="4381" spans="2:2" x14ac:dyDescent="0.25">
      <c r="B4381" s="1">
        <v>46599</v>
      </c>
    </row>
    <row r="4382" spans="2:2" x14ac:dyDescent="0.25">
      <c r="B4382" s="1">
        <v>46600</v>
      </c>
    </row>
    <row r="4383" spans="2:2" x14ac:dyDescent="0.25">
      <c r="B4383" s="1">
        <v>46601</v>
      </c>
    </row>
    <row r="4384" spans="2:2" x14ac:dyDescent="0.25">
      <c r="B4384" s="1">
        <v>46602</v>
      </c>
    </row>
    <row r="4385" spans="2:2" x14ac:dyDescent="0.25">
      <c r="B4385" s="1">
        <v>46603</v>
      </c>
    </row>
    <row r="4386" spans="2:2" x14ac:dyDescent="0.25">
      <c r="B4386" s="1">
        <v>46604</v>
      </c>
    </row>
    <row r="4387" spans="2:2" x14ac:dyDescent="0.25">
      <c r="B4387" s="1">
        <v>46605</v>
      </c>
    </row>
    <row r="4388" spans="2:2" x14ac:dyDescent="0.25">
      <c r="B4388" s="1">
        <v>46606</v>
      </c>
    </row>
    <row r="4389" spans="2:2" x14ac:dyDescent="0.25">
      <c r="B4389" s="1">
        <v>46607</v>
      </c>
    </row>
    <row r="4390" spans="2:2" x14ac:dyDescent="0.25">
      <c r="B4390" s="1">
        <v>46608</v>
      </c>
    </row>
    <row r="4391" spans="2:2" x14ac:dyDescent="0.25">
      <c r="B4391" s="1">
        <v>46609</v>
      </c>
    </row>
    <row r="4392" spans="2:2" x14ac:dyDescent="0.25">
      <c r="B4392" s="1">
        <v>46610</v>
      </c>
    </row>
    <row r="4393" spans="2:2" x14ac:dyDescent="0.25">
      <c r="B4393" s="1">
        <v>46611</v>
      </c>
    </row>
    <row r="4394" spans="2:2" x14ac:dyDescent="0.25">
      <c r="B4394" s="1">
        <v>46612</v>
      </c>
    </row>
    <row r="4395" spans="2:2" x14ac:dyDescent="0.25">
      <c r="B4395" s="1">
        <v>46613</v>
      </c>
    </row>
    <row r="4396" spans="2:2" x14ac:dyDescent="0.25">
      <c r="B4396" s="1">
        <v>46614</v>
      </c>
    </row>
    <row r="4397" spans="2:2" x14ac:dyDescent="0.25">
      <c r="B4397" s="1">
        <v>46615</v>
      </c>
    </row>
    <row r="4398" spans="2:2" x14ac:dyDescent="0.25">
      <c r="B4398" s="1">
        <v>46616</v>
      </c>
    </row>
    <row r="4399" spans="2:2" x14ac:dyDescent="0.25">
      <c r="B4399" s="1">
        <v>46617</v>
      </c>
    </row>
    <row r="4400" spans="2:2" x14ac:dyDescent="0.25">
      <c r="B4400" s="1">
        <v>46618</v>
      </c>
    </row>
    <row r="4401" spans="2:2" x14ac:dyDescent="0.25">
      <c r="B4401" s="1">
        <v>46619</v>
      </c>
    </row>
    <row r="4402" spans="2:2" x14ac:dyDescent="0.25">
      <c r="B4402" s="1">
        <v>46620</v>
      </c>
    </row>
    <row r="4403" spans="2:2" x14ac:dyDescent="0.25">
      <c r="B4403" s="1">
        <v>46621</v>
      </c>
    </row>
    <row r="4404" spans="2:2" x14ac:dyDescent="0.25">
      <c r="B4404" s="1">
        <v>46622</v>
      </c>
    </row>
    <row r="4405" spans="2:2" x14ac:dyDescent="0.25">
      <c r="B4405" s="1">
        <v>46623</v>
      </c>
    </row>
    <row r="4406" spans="2:2" x14ac:dyDescent="0.25">
      <c r="B4406" s="1">
        <v>46624</v>
      </c>
    </row>
    <row r="4407" spans="2:2" x14ac:dyDescent="0.25">
      <c r="B4407" s="1">
        <v>46625</v>
      </c>
    </row>
    <row r="4408" spans="2:2" x14ac:dyDescent="0.25">
      <c r="B4408" s="1">
        <v>46626</v>
      </c>
    </row>
    <row r="4409" spans="2:2" x14ac:dyDescent="0.25">
      <c r="B4409" s="1">
        <v>46627</v>
      </c>
    </row>
    <row r="4410" spans="2:2" x14ac:dyDescent="0.25">
      <c r="B4410" s="1">
        <v>46628</v>
      </c>
    </row>
    <row r="4411" spans="2:2" x14ac:dyDescent="0.25">
      <c r="B4411" s="1">
        <v>46629</v>
      </c>
    </row>
    <row r="4412" spans="2:2" x14ac:dyDescent="0.25">
      <c r="B4412" s="1">
        <v>46630</v>
      </c>
    </row>
    <row r="4413" spans="2:2" x14ac:dyDescent="0.25">
      <c r="B4413" s="1">
        <v>46631</v>
      </c>
    </row>
    <row r="4414" spans="2:2" x14ac:dyDescent="0.25">
      <c r="B4414" s="1">
        <v>46632</v>
      </c>
    </row>
    <row r="4415" spans="2:2" x14ac:dyDescent="0.25">
      <c r="B4415" s="1">
        <v>46633</v>
      </c>
    </row>
    <row r="4416" spans="2:2" x14ac:dyDescent="0.25">
      <c r="B4416" s="1">
        <v>46634</v>
      </c>
    </row>
    <row r="4417" spans="2:2" x14ac:dyDescent="0.25">
      <c r="B4417" s="1">
        <v>46635</v>
      </c>
    </row>
    <row r="4418" spans="2:2" x14ac:dyDescent="0.25">
      <c r="B4418" s="1">
        <v>46636</v>
      </c>
    </row>
    <row r="4419" spans="2:2" x14ac:dyDescent="0.25">
      <c r="B4419" s="1">
        <v>46637</v>
      </c>
    </row>
    <row r="4420" spans="2:2" x14ac:dyDescent="0.25">
      <c r="B4420" s="1">
        <v>46638</v>
      </c>
    </row>
    <row r="4421" spans="2:2" x14ac:dyDescent="0.25">
      <c r="B4421" s="1">
        <v>46639</v>
      </c>
    </row>
    <row r="4422" spans="2:2" x14ac:dyDescent="0.25">
      <c r="B4422" s="1">
        <v>46640</v>
      </c>
    </row>
    <row r="4423" spans="2:2" x14ac:dyDescent="0.25">
      <c r="B4423" s="1">
        <v>46641</v>
      </c>
    </row>
    <row r="4424" spans="2:2" x14ac:dyDescent="0.25">
      <c r="B4424" s="1">
        <v>46642</v>
      </c>
    </row>
    <row r="4425" spans="2:2" x14ac:dyDescent="0.25">
      <c r="B4425" s="1">
        <v>46643</v>
      </c>
    </row>
    <row r="4426" spans="2:2" x14ac:dyDescent="0.25">
      <c r="B4426" s="1">
        <v>46644</v>
      </c>
    </row>
    <row r="4427" spans="2:2" x14ac:dyDescent="0.25">
      <c r="B4427" s="1">
        <v>46645</v>
      </c>
    </row>
    <row r="4428" spans="2:2" x14ac:dyDescent="0.25">
      <c r="B4428" s="1">
        <v>46646</v>
      </c>
    </row>
    <row r="4429" spans="2:2" x14ac:dyDescent="0.25">
      <c r="B4429" s="1">
        <v>46647</v>
      </c>
    </row>
    <row r="4430" spans="2:2" x14ac:dyDescent="0.25">
      <c r="B4430" s="1">
        <v>46648</v>
      </c>
    </row>
    <row r="4431" spans="2:2" x14ac:dyDescent="0.25">
      <c r="B4431" s="1">
        <v>46649</v>
      </c>
    </row>
    <row r="4432" spans="2:2" x14ac:dyDescent="0.25">
      <c r="B4432" s="1">
        <v>46650</v>
      </c>
    </row>
    <row r="4433" spans="2:2" x14ac:dyDescent="0.25">
      <c r="B4433" s="1">
        <v>46651</v>
      </c>
    </row>
    <row r="4434" spans="2:2" x14ac:dyDescent="0.25">
      <c r="B4434" s="1">
        <v>46652</v>
      </c>
    </row>
    <row r="4435" spans="2:2" x14ac:dyDescent="0.25">
      <c r="B4435" s="1">
        <v>46653</v>
      </c>
    </row>
    <row r="4436" spans="2:2" x14ac:dyDescent="0.25">
      <c r="B4436" s="1">
        <v>46654</v>
      </c>
    </row>
    <row r="4437" spans="2:2" x14ac:dyDescent="0.25">
      <c r="B4437" s="1">
        <v>46655</v>
      </c>
    </row>
    <row r="4438" spans="2:2" x14ac:dyDescent="0.25">
      <c r="B4438" s="1">
        <v>46656</v>
      </c>
    </row>
    <row r="4439" spans="2:2" x14ac:dyDescent="0.25">
      <c r="B4439" s="1">
        <v>46657</v>
      </c>
    </row>
    <row r="4440" spans="2:2" x14ac:dyDescent="0.25">
      <c r="B4440" s="1">
        <v>46658</v>
      </c>
    </row>
    <row r="4441" spans="2:2" x14ac:dyDescent="0.25">
      <c r="B4441" s="1">
        <v>46659</v>
      </c>
    </row>
    <row r="4442" spans="2:2" x14ac:dyDescent="0.25">
      <c r="B4442" s="1">
        <v>46660</v>
      </c>
    </row>
    <row r="4443" spans="2:2" x14ac:dyDescent="0.25">
      <c r="B4443" s="1">
        <v>46661</v>
      </c>
    </row>
    <row r="4444" spans="2:2" x14ac:dyDescent="0.25">
      <c r="B4444" s="1">
        <v>46662</v>
      </c>
    </row>
    <row r="4445" spans="2:2" x14ac:dyDescent="0.25">
      <c r="B4445" s="1">
        <v>46663</v>
      </c>
    </row>
    <row r="4446" spans="2:2" x14ac:dyDescent="0.25">
      <c r="B4446" s="1">
        <v>46664</v>
      </c>
    </row>
    <row r="4447" spans="2:2" x14ac:dyDescent="0.25">
      <c r="B4447" s="1">
        <v>46665</v>
      </c>
    </row>
    <row r="4448" spans="2:2" x14ac:dyDescent="0.25">
      <c r="B4448" s="1">
        <v>46666</v>
      </c>
    </row>
    <row r="4449" spans="2:2" x14ac:dyDescent="0.25">
      <c r="B4449" s="1">
        <v>46667</v>
      </c>
    </row>
    <row r="4450" spans="2:2" x14ac:dyDescent="0.25">
      <c r="B4450" s="1">
        <v>46668</v>
      </c>
    </row>
    <row r="4451" spans="2:2" x14ac:dyDescent="0.25">
      <c r="B4451" s="1">
        <v>46669</v>
      </c>
    </row>
    <row r="4452" spans="2:2" x14ac:dyDescent="0.25">
      <c r="B4452" s="1">
        <v>46670</v>
      </c>
    </row>
    <row r="4453" spans="2:2" x14ac:dyDescent="0.25">
      <c r="B4453" s="1">
        <v>46671</v>
      </c>
    </row>
    <row r="4454" spans="2:2" x14ac:dyDescent="0.25">
      <c r="B4454" s="1">
        <v>46672</v>
      </c>
    </row>
    <row r="4455" spans="2:2" x14ac:dyDescent="0.25">
      <c r="B4455" s="1">
        <v>46673</v>
      </c>
    </row>
    <row r="4456" spans="2:2" x14ac:dyDescent="0.25">
      <c r="B4456" s="1">
        <v>46674</v>
      </c>
    </row>
    <row r="4457" spans="2:2" x14ac:dyDescent="0.25">
      <c r="B4457" s="1">
        <v>46675</v>
      </c>
    </row>
    <row r="4458" spans="2:2" x14ac:dyDescent="0.25">
      <c r="B4458" s="1">
        <v>46676</v>
      </c>
    </row>
    <row r="4459" spans="2:2" x14ac:dyDescent="0.25">
      <c r="B4459" s="1">
        <v>46677</v>
      </c>
    </row>
    <row r="4460" spans="2:2" x14ac:dyDescent="0.25">
      <c r="B4460" s="1">
        <v>46678</v>
      </c>
    </row>
    <row r="4461" spans="2:2" x14ac:dyDescent="0.25">
      <c r="B4461" s="1">
        <v>46679</v>
      </c>
    </row>
    <row r="4462" spans="2:2" x14ac:dyDescent="0.25">
      <c r="B4462" s="1">
        <v>46680</v>
      </c>
    </row>
    <row r="4463" spans="2:2" x14ac:dyDescent="0.25">
      <c r="B4463" s="1">
        <v>46681</v>
      </c>
    </row>
    <row r="4464" spans="2:2" x14ac:dyDescent="0.25">
      <c r="B4464" s="1">
        <v>46682</v>
      </c>
    </row>
    <row r="4465" spans="2:2" x14ac:dyDescent="0.25">
      <c r="B4465" s="1">
        <v>46683</v>
      </c>
    </row>
    <row r="4466" spans="2:2" x14ac:dyDescent="0.25">
      <c r="B4466" s="1">
        <v>46684</v>
      </c>
    </row>
    <row r="4467" spans="2:2" x14ac:dyDescent="0.25">
      <c r="B4467" s="1">
        <v>46685</v>
      </c>
    </row>
    <row r="4468" spans="2:2" x14ac:dyDescent="0.25">
      <c r="B4468" s="1">
        <v>46686</v>
      </c>
    </row>
    <row r="4469" spans="2:2" x14ac:dyDescent="0.25">
      <c r="B4469" s="1">
        <v>46687</v>
      </c>
    </row>
    <row r="4470" spans="2:2" x14ac:dyDescent="0.25">
      <c r="B4470" s="1">
        <v>46688</v>
      </c>
    </row>
    <row r="4471" spans="2:2" x14ac:dyDescent="0.25">
      <c r="B4471" s="1">
        <v>46689</v>
      </c>
    </row>
    <row r="4472" spans="2:2" x14ac:dyDescent="0.25">
      <c r="B4472" s="1">
        <v>46690</v>
      </c>
    </row>
    <row r="4473" spans="2:2" x14ac:dyDescent="0.25">
      <c r="B4473" s="1">
        <v>46691</v>
      </c>
    </row>
    <row r="4474" spans="2:2" x14ac:dyDescent="0.25">
      <c r="B4474" s="1">
        <v>46692</v>
      </c>
    </row>
    <row r="4475" spans="2:2" x14ac:dyDescent="0.25">
      <c r="B4475" s="1">
        <v>46693</v>
      </c>
    </row>
    <row r="4476" spans="2:2" x14ac:dyDescent="0.25">
      <c r="B4476" s="1">
        <v>46694</v>
      </c>
    </row>
    <row r="4477" spans="2:2" x14ac:dyDescent="0.25">
      <c r="B4477" s="1">
        <v>46695</v>
      </c>
    </row>
    <row r="4478" spans="2:2" x14ac:dyDescent="0.25">
      <c r="B4478" s="1">
        <v>46696</v>
      </c>
    </row>
    <row r="4479" spans="2:2" x14ac:dyDescent="0.25">
      <c r="B4479" s="1">
        <v>46697</v>
      </c>
    </row>
    <row r="4480" spans="2:2" x14ac:dyDescent="0.25">
      <c r="B4480" s="1">
        <v>46698</v>
      </c>
    </row>
    <row r="4481" spans="2:2" x14ac:dyDescent="0.25">
      <c r="B4481" s="1">
        <v>46699</v>
      </c>
    </row>
    <row r="4482" spans="2:2" x14ac:dyDescent="0.25">
      <c r="B4482" s="1">
        <v>46700</v>
      </c>
    </row>
    <row r="4483" spans="2:2" x14ac:dyDescent="0.25">
      <c r="B4483" s="1">
        <v>46701</v>
      </c>
    </row>
    <row r="4484" spans="2:2" x14ac:dyDescent="0.25">
      <c r="B4484" s="1">
        <v>46702</v>
      </c>
    </row>
    <row r="4485" spans="2:2" x14ac:dyDescent="0.25">
      <c r="B4485" s="1">
        <v>46703</v>
      </c>
    </row>
    <row r="4486" spans="2:2" x14ac:dyDescent="0.25">
      <c r="B4486" s="1">
        <v>46704</v>
      </c>
    </row>
    <row r="4487" spans="2:2" x14ac:dyDescent="0.25">
      <c r="B4487" s="1">
        <v>46705</v>
      </c>
    </row>
    <row r="4488" spans="2:2" x14ac:dyDescent="0.25">
      <c r="B4488" s="1">
        <v>46706</v>
      </c>
    </row>
    <row r="4489" spans="2:2" x14ac:dyDescent="0.25">
      <c r="B4489" s="1">
        <v>46707</v>
      </c>
    </row>
    <row r="4490" spans="2:2" x14ac:dyDescent="0.25">
      <c r="B4490" s="1">
        <v>46708</v>
      </c>
    </row>
    <row r="4491" spans="2:2" x14ac:dyDescent="0.25">
      <c r="B4491" s="1">
        <v>46709</v>
      </c>
    </row>
    <row r="4492" spans="2:2" x14ac:dyDescent="0.25">
      <c r="B4492" s="1">
        <v>46710</v>
      </c>
    </row>
    <row r="4493" spans="2:2" x14ac:dyDescent="0.25">
      <c r="B4493" s="1">
        <v>46711</v>
      </c>
    </row>
    <row r="4494" spans="2:2" x14ac:dyDescent="0.25">
      <c r="B4494" s="1">
        <v>46712</v>
      </c>
    </row>
    <row r="4495" spans="2:2" x14ac:dyDescent="0.25">
      <c r="B4495" s="1">
        <v>46713</v>
      </c>
    </row>
    <row r="4496" spans="2:2" x14ac:dyDescent="0.25">
      <c r="B4496" s="1">
        <v>46714</v>
      </c>
    </row>
    <row r="4497" spans="2:2" x14ac:dyDescent="0.25">
      <c r="B4497" s="1">
        <v>46715</v>
      </c>
    </row>
    <row r="4498" spans="2:2" x14ac:dyDescent="0.25">
      <c r="B4498" s="1">
        <v>46716</v>
      </c>
    </row>
    <row r="4499" spans="2:2" x14ac:dyDescent="0.25">
      <c r="B4499" s="1">
        <v>46717</v>
      </c>
    </row>
    <row r="4500" spans="2:2" x14ac:dyDescent="0.25">
      <c r="B4500" s="1">
        <v>46718</v>
      </c>
    </row>
    <row r="4501" spans="2:2" x14ac:dyDescent="0.25">
      <c r="B4501" s="1">
        <v>46719</v>
      </c>
    </row>
    <row r="4502" spans="2:2" x14ac:dyDescent="0.25">
      <c r="B4502" s="1">
        <v>46720</v>
      </c>
    </row>
    <row r="4503" spans="2:2" x14ac:dyDescent="0.25">
      <c r="B4503" s="1">
        <v>46721</v>
      </c>
    </row>
    <row r="4504" spans="2:2" x14ac:dyDescent="0.25">
      <c r="B4504" s="1">
        <v>46722</v>
      </c>
    </row>
    <row r="4505" spans="2:2" x14ac:dyDescent="0.25">
      <c r="B4505" s="1">
        <v>46723</v>
      </c>
    </row>
    <row r="4506" spans="2:2" x14ac:dyDescent="0.25">
      <c r="B4506" s="1">
        <v>46724</v>
      </c>
    </row>
    <row r="4507" spans="2:2" x14ac:dyDescent="0.25">
      <c r="B4507" s="1">
        <v>46725</v>
      </c>
    </row>
    <row r="4508" spans="2:2" x14ac:dyDescent="0.25">
      <c r="B4508" s="1">
        <v>46726</v>
      </c>
    </row>
    <row r="4509" spans="2:2" x14ac:dyDescent="0.25">
      <c r="B4509" s="1">
        <v>46727</v>
      </c>
    </row>
    <row r="4510" spans="2:2" x14ac:dyDescent="0.25">
      <c r="B4510" s="1">
        <v>46728</v>
      </c>
    </row>
    <row r="4511" spans="2:2" x14ac:dyDescent="0.25">
      <c r="B4511" s="1">
        <v>46729</v>
      </c>
    </row>
    <row r="4512" spans="2:2" x14ac:dyDescent="0.25">
      <c r="B4512" s="1">
        <v>46730</v>
      </c>
    </row>
    <row r="4513" spans="2:2" x14ac:dyDescent="0.25">
      <c r="B4513" s="1">
        <v>46731</v>
      </c>
    </row>
    <row r="4514" spans="2:2" x14ac:dyDescent="0.25">
      <c r="B4514" s="1">
        <v>46732</v>
      </c>
    </row>
    <row r="4515" spans="2:2" x14ac:dyDescent="0.25">
      <c r="B4515" s="1">
        <v>46733</v>
      </c>
    </row>
    <row r="4516" spans="2:2" x14ac:dyDescent="0.25">
      <c r="B4516" s="1">
        <v>46734</v>
      </c>
    </row>
    <row r="4517" spans="2:2" x14ac:dyDescent="0.25">
      <c r="B4517" s="1">
        <v>46735</v>
      </c>
    </row>
    <row r="4518" spans="2:2" x14ac:dyDescent="0.25">
      <c r="B4518" s="1">
        <v>46736</v>
      </c>
    </row>
    <row r="4519" spans="2:2" x14ac:dyDescent="0.25">
      <c r="B4519" s="1">
        <v>46737</v>
      </c>
    </row>
    <row r="4520" spans="2:2" x14ac:dyDescent="0.25">
      <c r="B4520" s="1">
        <v>46738</v>
      </c>
    </row>
    <row r="4521" spans="2:2" x14ac:dyDescent="0.25">
      <c r="B4521" s="1">
        <v>46739</v>
      </c>
    </row>
    <row r="4522" spans="2:2" x14ac:dyDescent="0.25">
      <c r="B4522" s="1">
        <v>46740</v>
      </c>
    </row>
    <row r="4523" spans="2:2" x14ac:dyDescent="0.25">
      <c r="B4523" s="1">
        <v>46741</v>
      </c>
    </row>
    <row r="4524" spans="2:2" x14ac:dyDescent="0.25">
      <c r="B4524" s="1">
        <v>46742</v>
      </c>
    </row>
    <row r="4525" spans="2:2" x14ac:dyDescent="0.25">
      <c r="B4525" s="1">
        <v>46743</v>
      </c>
    </row>
    <row r="4526" spans="2:2" x14ac:dyDescent="0.25">
      <c r="B4526" s="1">
        <v>46744</v>
      </c>
    </row>
    <row r="4527" spans="2:2" x14ac:dyDescent="0.25">
      <c r="B4527" s="1">
        <v>46745</v>
      </c>
    </row>
    <row r="4528" spans="2:2" x14ac:dyDescent="0.25">
      <c r="B4528" s="1">
        <v>46746</v>
      </c>
    </row>
    <row r="4529" spans="2:2" x14ac:dyDescent="0.25">
      <c r="B4529" s="1">
        <v>46747</v>
      </c>
    </row>
    <row r="4530" spans="2:2" x14ac:dyDescent="0.25">
      <c r="B4530" s="1">
        <v>46748</v>
      </c>
    </row>
    <row r="4531" spans="2:2" x14ac:dyDescent="0.25">
      <c r="B4531" s="1">
        <v>46749</v>
      </c>
    </row>
    <row r="4532" spans="2:2" x14ac:dyDescent="0.25">
      <c r="B4532" s="1">
        <v>46750</v>
      </c>
    </row>
    <row r="4533" spans="2:2" x14ac:dyDescent="0.25">
      <c r="B4533" s="1">
        <v>46751</v>
      </c>
    </row>
    <row r="4534" spans="2:2" x14ac:dyDescent="0.25">
      <c r="B4534" s="1">
        <v>46752</v>
      </c>
    </row>
    <row r="4535" spans="2:2" x14ac:dyDescent="0.25">
      <c r="B4535" s="1"/>
    </row>
    <row r="4536" spans="2:2" x14ac:dyDescent="0.25">
      <c r="B4536" s="1"/>
    </row>
    <row r="4537" spans="2:2" x14ac:dyDescent="0.25">
      <c r="B4537" s="1"/>
    </row>
    <row r="4538" spans="2:2" x14ac:dyDescent="0.25">
      <c r="B4538" s="1"/>
    </row>
    <row r="4539" spans="2:2" x14ac:dyDescent="0.25">
      <c r="B4539" s="1"/>
    </row>
    <row r="4540" spans="2:2" x14ac:dyDescent="0.25">
      <c r="B4540" s="1"/>
    </row>
    <row r="4541" spans="2:2" x14ac:dyDescent="0.25">
      <c r="B4541" s="1"/>
    </row>
    <row r="4542" spans="2:2" x14ac:dyDescent="0.25">
      <c r="B4542" s="1"/>
    </row>
    <row r="4543" spans="2:2" x14ac:dyDescent="0.25">
      <c r="B4543" s="1"/>
    </row>
    <row r="4544" spans="2:2" x14ac:dyDescent="0.25">
      <c r="B4544" s="1"/>
    </row>
    <row r="4545" spans="2:2" x14ac:dyDescent="0.25">
      <c r="B4545" s="1"/>
    </row>
    <row r="4546" spans="2:2" x14ac:dyDescent="0.25">
      <c r="B4546" s="1"/>
    </row>
    <row r="4547" spans="2:2" x14ac:dyDescent="0.25">
      <c r="B4547" s="1"/>
    </row>
    <row r="4548" spans="2:2" x14ac:dyDescent="0.25">
      <c r="B4548" s="1"/>
    </row>
    <row r="4549" spans="2:2" x14ac:dyDescent="0.25">
      <c r="B4549" s="1"/>
    </row>
    <row r="4550" spans="2:2" x14ac:dyDescent="0.25">
      <c r="B4550" s="1"/>
    </row>
    <row r="4551" spans="2:2" x14ac:dyDescent="0.25">
      <c r="B4551" s="1"/>
    </row>
    <row r="4552" spans="2:2" x14ac:dyDescent="0.25">
      <c r="B4552" s="1"/>
    </row>
    <row r="4553" spans="2:2" x14ac:dyDescent="0.25">
      <c r="B4553" s="1"/>
    </row>
    <row r="4554" spans="2:2" x14ac:dyDescent="0.25">
      <c r="B4554" s="1"/>
    </row>
    <row r="4555" spans="2:2" x14ac:dyDescent="0.25">
      <c r="B4555" s="1"/>
    </row>
    <row r="4556" spans="2:2" x14ac:dyDescent="0.25">
      <c r="B4556" s="1"/>
    </row>
    <row r="4557" spans="2:2" x14ac:dyDescent="0.25">
      <c r="B4557" s="1"/>
    </row>
    <row r="4558" spans="2:2" x14ac:dyDescent="0.25">
      <c r="B4558" s="1"/>
    </row>
    <row r="4559" spans="2:2" x14ac:dyDescent="0.25">
      <c r="B4559" s="1"/>
    </row>
    <row r="4560" spans="2:2" x14ac:dyDescent="0.25">
      <c r="B4560" s="1"/>
    </row>
    <row r="4561" spans="2:2" x14ac:dyDescent="0.25">
      <c r="B4561" s="1"/>
    </row>
    <row r="4562" spans="2:2" x14ac:dyDescent="0.25">
      <c r="B4562" s="1"/>
    </row>
    <row r="4563" spans="2:2" x14ac:dyDescent="0.25">
      <c r="B4563" s="1"/>
    </row>
    <row r="4564" spans="2:2" x14ac:dyDescent="0.25">
      <c r="B4564" s="1"/>
    </row>
    <row r="4565" spans="2:2" x14ac:dyDescent="0.25">
      <c r="B4565" s="1"/>
    </row>
    <row r="4566" spans="2:2" x14ac:dyDescent="0.25">
      <c r="B4566" s="1"/>
    </row>
    <row r="4567" spans="2:2" x14ac:dyDescent="0.25">
      <c r="B4567" s="1"/>
    </row>
    <row r="4568" spans="2:2" x14ac:dyDescent="0.25">
      <c r="B4568" s="1"/>
    </row>
    <row r="4569" spans="2:2" x14ac:dyDescent="0.25">
      <c r="B4569" s="1"/>
    </row>
    <row r="4570" spans="2:2" x14ac:dyDescent="0.25">
      <c r="B4570" s="1"/>
    </row>
    <row r="4571" spans="2:2" x14ac:dyDescent="0.25">
      <c r="B4571" s="1"/>
    </row>
    <row r="4572" spans="2:2" x14ac:dyDescent="0.25">
      <c r="B4572" s="1"/>
    </row>
    <row r="4573" spans="2:2" x14ac:dyDescent="0.25">
      <c r="B4573" s="1"/>
    </row>
    <row r="4574" spans="2:2" x14ac:dyDescent="0.25">
      <c r="B4574" s="1"/>
    </row>
    <row r="4575" spans="2:2" x14ac:dyDescent="0.25">
      <c r="B4575" s="1"/>
    </row>
    <row r="4576" spans="2:2" x14ac:dyDescent="0.25">
      <c r="B4576" s="1"/>
    </row>
    <row r="4577" spans="2:2" x14ac:dyDescent="0.25">
      <c r="B4577" s="1"/>
    </row>
    <row r="4578" spans="2:2" x14ac:dyDescent="0.25">
      <c r="B4578" s="1"/>
    </row>
    <row r="4579" spans="2:2" x14ac:dyDescent="0.25">
      <c r="B4579" s="1"/>
    </row>
    <row r="4580" spans="2:2" x14ac:dyDescent="0.25">
      <c r="B4580" s="1"/>
    </row>
    <row r="4581" spans="2:2" x14ac:dyDescent="0.25">
      <c r="B4581" s="1"/>
    </row>
    <row r="4582" spans="2:2" x14ac:dyDescent="0.25">
      <c r="B4582" s="1"/>
    </row>
    <row r="4583" spans="2:2" x14ac:dyDescent="0.25">
      <c r="B4583" s="1"/>
    </row>
    <row r="4584" spans="2:2" x14ac:dyDescent="0.25">
      <c r="B4584" s="1"/>
    </row>
    <row r="4585" spans="2:2" x14ac:dyDescent="0.25">
      <c r="B4585" s="1"/>
    </row>
    <row r="4586" spans="2:2" x14ac:dyDescent="0.25">
      <c r="B4586" s="1"/>
    </row>
    <row r="4587" spans="2:2" x14ac:dyDescent="0.25">
      <c r="B4587" s="1"/>
    </row>
    <row r="4588" spans="2:2" x14ac:dyDescent="0.25">
      <c r="B4588" s="1"/>
    </row>
    <row r="4589" spans="2:2" x14ac:dyDescent="0.25">
      <c r="B4589" s="1"/>
    </row>
    <row r="4590" spans="2:2" x14ac:dyDescent="0.25">
      <c r="B4590" s="1"/>
    </row>
    <row r="4591" spans="2:2" x14ac:dyDescent="0.25">
      <c r="B4591" s="1"/>
    </row>
    <row r="4592" spans="2:2" x14ac:dyDescent="0.25">
      <c r="B4592" s="1"/>
    </row>
    <row r="4593" spans="2:2" x14ac:dyDescent="0.25">
      <c r="B4593" s="1"/>
    </row>
    <row r="4594" spans="2:2" x14ac:dyDescent="0.25">
      <c r="B4594" s="1"/>
    </row>
    <row r="4595" spans="2:2" x14ac:dyDescent="0.25">
      <c r="B4595" s="1"/>
    </row>
    <row r="4596" spans="2:2" x14ac:dyDescent="0.25">
      <c r="B4596" s="1"/>
    </row>
    <row r="4597" spans="2:2" x14ac:dyDescent="0.25">
      <c r="B4597" s="1"/>
    </row>
    <row r="4598" spans="2:2" x14ac:dyDescent="0.25">
      <c r="B4598" s="1"/>
    </row>
    <row r="4599" spans="2:2" x14ac:dyDescent="0.25">
      <c r="B4599" s="1"/>
    </row>
    <row r="4600" spans="2:2" x14ac:dyDescent="0.25">
      <c r="B4600" s="1"/>
    </row>
    <row r="4601" spans="2:2" x14ac:dyDescent="0.25">
      <c r="B4601" s="1"/>
    </row>
    <row r="4602" spans="2:2" x14ac:dyDescent="0.25">
      <c r="B4602" s="1"/>
    </row>
    <row r="4603" spans="2:2" x14ac:dyDescent="0.25">
      <c r="B4603" s="1"/>
    </row>
    <row r="4604" spans="2:2" x14ac:dyDescent="0.25">
      <c r="B4604" s="1"/>
    </row>
    <row r="4605" spans="2:2" x14ac:dyDescent="0.25">
      <c r="B4605" s="1"/>
    </row>
    <row r="4606" spans="2:2" x14ac:dyDescent="0.25">
      <c r="B4606" s="1"/>
    </row>
    <row r="4607" spans="2:2" x14ac:dyDescent="0.25">
      <c r="B4607" s="1"/>
    </row>
    <row r="4608" spans="2:2" x14ac:dyDescent="0.25">
      <c r="B4608" s="1"/>
    </row>
    <row r="4609" spans="2:2" x14ac:dyDescent="0.25">
      <c r="B4609" s="1"/>
    </row>
    <row r="4610" spans="2:2" x14ac:dyDescent="0.25">
      <c r="B4610" s="1"/>
    </row>
    <row r="4611" spans="2:2" x14ac:dyDescent="0.25">
      <c r="B4611" s="1"/>
    </row>
    <row r="4612" spans="2:2" x14ac:dyDescent="0.25">
      <c r="B4612" s="1"/>
    </row>
    <row r="4613" spans="2:2" x14ac:dyDescent="0.25">
      <c r="B4613" s="1"/>
    </row>
    <row r="4614" spans="2:2" x14ac:dyDescent="0.25">
      <c r="B4614" s="1"/>
    </row>
    <row r="4615" spans="2:2" x14ac:dyDescent="0.25">
      <c r="B4615" s="1"/>
    </row>
    <row r="4616" spans="2:2" x14ac:dyDescent="0.25">
      <c r="B4616" s="1"/>
    </row>
    <row r="4617" spans="2:2" x14ac:dyDescent="0.25">
      <c r="B4617" s="1"/>
    </row>
    <row r="4618" spans="2:2" x14ac:dyDescent="0.25">
      <c r="B4618" s="1"/>
    </row>
    <row r="4619" spans="2:2" x14ac:dyDescent="0.25">
      <c r="B4619" s="1"/>
    </row>
    <row r="4620" spans="2:2" x14ac:dyDescent="0.25">
      <c r="B4620" s="1"/>
    </row>
    <row r="4621" spans="2:2" x14ac:dyDescent="0.25">
      <c r="B4621" s="1"/>
    </row>
    <row r="4622" spans="2:2" x14ac:dyDescent="0.25">
      <c r="B4622" s="1"/>
    </row>
    <row r="4623" spans="2:2" x14ac:dyDescent="0.25">
      <c r="B4623" s="1"/>
    </row>
    <row r="4624" spans="2:2" x14ac:dyDescent="0.25">
      <c r="B4624" s="1"/>
    </row>
    <row r="4625" spans="2:2" x14ac:dyDescent="0.25">
      <c r="B4625" s="1"/>
    </row>
    <row r="4626" spans="2:2" x14ac:dyDescent="0.25">
      <c r="B4626" s="1"/>
    </row>
    <row r="4627" spans="2:2" x14ac:dyDescent="0.25">
      <c r="B4627" s="1"/>
    </row>
    <row r="4628" spans="2:2" x14ac:dyDescent="0.25">
      <c r="B4628" s="1"/>
    </row>
    <row r="4629" spans="2:2" x14ac:dyDescent="0.25">
      <c r="B4629" s="1"/>
    </row>
    <row r="4630" spans="2:2" x14ac:dyDescent="0.25">
      <c r="B4630" s="1"/>
    </row>
    <row r="4631" spans="2:2" x14ac:dyDescent="0.25">
      <c r="B4631" s="1"/>
    </row>
    <row r="4632" spans="2:2" x14ac:dyDescent="0.25">
      <c r="B4632" s="1"/>
    </row>
    <row r="4633" spans="2:2" x14ac:dyDescent="0.25">
      <c r="B4633" s="1"/>
    </row>
    <row r="4634" spans="2:2" x14ac:dyDescent="0.25">
      <c r="B4634" s="1"/>
    </row>
    <row r="4635" spans="2:2" x14ac:dyDescent="0.25">
      <c r="B4635" s="1"/>
    </row>
    <row r="4636" spans="2:2" x14ac:dyDescent="0.25">
      <c r="B4636" s="1"/>
    </row>
    <row r="4637" spans="2:2" x14ac:dyDescent="0.25">
      <c r="B4637" s="1"/>
    </row>
    <row r="4638" spans="2:2" x14ac:dyDescent="0.25">
      <c r="B4638" s="1"/>
    </row>
    <row r="4639" spans="2:2" x14ac:dyDescent="0.25">
      <c r="B4639" s="1"/>
    </row>
    <row r="4640" spans="2:2" x14ac:dyDescent="0.25">
      <c r="B4640" s="1"/>
    </row>
    <row r="4641" spans="2:2" x14ac:dyDescent="0.25">
      <c r="B4641" s="1"/>
    </row>
    <row r="4642" spans="2:2" x14ac:dyDescent="0.25">
      <c r="B4642" s="1"/>
    </row>
    <row r="4643" spans="2:2" x14ac:dyDescent="0.25">
      <c r="B4643" s="1"/>
    </row>
    <row r="4644" spans="2:2" x14ac:dyDescent="0.25">
      <c r="B4644" s="1"/>
    </row>
    <row r="4645" spans="2:2" x14ac:dyDescent="0.25">
      <c r="B4645" s="1"/>
    </row>
    <row r="4646" spans="2:2" x14ac:dyDescent="0.25">
      <c r="B4646" s="1"/>
    </row>
    <row r="4647" spans="2:2" x14ac:dyDescent="0.25">
      <c r="B4647" s="1"/>
    </row>
    <row r="4648" spans="2:2" x14ac:dyDescent="0.25">
      <c r="B4648" s="1"/>
    </row>
    <row r="4649" spans="2:2" x14ac:dyDescent="0.25">
      <c r="B4649" s="1"/>
    </row>
    <row r="4650" spans="2:2" x14ac:dyDescent="0.25">
      <c r="B4650" s="1"/>
    </row>
    <row r="4651" spans="2:2" x14ac:dyDescent="0.25">
      <c r="B4651" s="1"/>
    </row>
    <row r="4652" spans="2:2" x14ac:dyDescent="0.25">
      <c r="B4652" s="1"/>
    </row>
    <row r="4653" spans="2:2" x14ac:dyDescent="0.25">
      <c r="B4653" s="1"/>
    </row>
    <row r="4654" spans="2:2" x14ac:dyDescent="0.25">
      <c r="B4654" s="1"/>
    </row>
    <row r="4655" spans="2:2" x14ac:dyDescent="0.25">
      <c r="B4655" s="1"/>
    </row>
    <row r="4656" spans="2:2" x14ac:dyDescent="0.25">
      <c r="B4656" s="1"/>
    </row>
    <row r="4657" spans="2:2" x14ac:dyDescent="0.25">
      <c r="B4657" s="1"/>
    </row>
    <row r="4658" spans="2:2" x14ac:dyDescent="0.25">
      <c r="B4658" s="1"/>
    </row>
    <row r="4659" spans="2:2" x14ac:dyDescent="0.25">
      <c r="B4659" s="1"/>
    </row>
    <row r="4660" spans="2:2" x14ac:dyDescent="0.25">
      <c r="B4660" s="1"/>
    </row>
    <row r="4661" spans="2:2" x14ac:dyDescent="0.25">
      <c r="B4661" s="1"/>
    </row>
    <row r="4662" spans="2:2" x14ac:dyDescent="0.25">
      <c r="B4662" s="1"/>
    </row>
    <row r="4663" spans="2:2" x14ac:dyDescent="0.25">
      <c r="B4663" s="1"/>
    </row>
    <row r="4664" spans="2:2" x14ac:dyDescent="0.25">
      <c r="B4664" s="1"/>
    </row>
    <row r="4665" spans="2:2" x14ac:dyDescent="0.25">
      <c r="B4665" s="1"/>
    </row>
    <row r="4666" spans="2:2" x14ac:dyDescent="0.25">
      <c r="B4666" s="1"/>
    </row>
    <row r="4667" spans="2:2" x14ac:dyDescent="0.25">
      <c r="B4667" s="1"/>
    </row>
    <row r="4668" spans="2:2" x14ac:dyDescent="0.25">
      <c r="B4668" s="1"/>
    </row>
    <row r="4669" spans="2:2" x14ac:dyDescent="0.25">
      <c r="B4669" s="1"/>
    </row>
    <row r="4670" spans="2:2" x14ac:dyDescent="0.25">
      <c r="B4670" s="1"/>
    </row>
    <row r="4671" spans="2:2" x14ac:dyDescent="0.25">
      <c r="B4671" s="1"/>
    </row>
    <row r="4672" spans="2:2" x14ac:dyDescent="0.25">
      <c r="B4672" s="1"/>
    </row>
    <row r="4673" spans="2:2" x14ac:dyDescent="0.25">
      <c r="B4673" s="1"/>
    </row>
    <row r="4674" spans="2:2" x14ac:dyDescent="0.25">
      <c r="B4674" s="1"/>
    </row>
    <row r="4675" spans="2:2" x14ac:dyDescent="0.25">
      <c r="B4675" s="1"/>
    </row>
    <row r="4676" spans="2:2" x14ac:dyDescent="0.25">
      <c r="B4676" s="1"/>
    </row>
    <row r="4677" spans="2:2" x14ac:dyDescent="0.25">
      <c r="B4677" s="1"/>
    </row>
    <row r="4678" spans="2:2" x14ac:dyDescent="0.25">
      <c r="B4678" s="1"/>
    </row>
    <row r="4679" spans="2:2" x14ac:dyDescent="0.25">
      <c r="B4679" s="1"/>
    </row>
    <row r="4680" spans="2:2" x14ac:dyDescent="0.25">
      <c r="B4680" s="1"/>
    </row>
    <row r="4681" spans="2:2" x14ac:dyDescent="0.25">
      <c r="B4681" s="1"/>
    </row>
    <row r="4682" spans="2:2" x14ac:dyDescent="0.25">
      <c r="B4682" s="1"/>
    </row>
    <row r="4683" spans="2:2" x14ac:dyDescent="0.25">
      <c r="B4683" s="1"/>
    </row>
    <row r="4684" spans="2:2" x14ac:dyDescent="0.25">
      <c r="B4684" s="1"/>
    </row>
    <row r="4685" spans="2:2" x14ac:dyDescent="0.25">
      <c r="B4685" s="1"/>
    </row>
    <row r="4686" spans="2:2" x14ac:dyDescent="0.25">
      <c r="B4686" s="1"/>
    </row>
    <row r="4687" spans="2:2" x14ac:dyDescent="0.25">
      <c r="B4687" s="1"/>
    </row>
    <row r="4688" spans="2:2" x14ac:dyDescent="0.25">
      <c r="B4688" s="1"/>
    </row>
    <row r="4689" spans="2:2" x14ac:dyDescent="0.25">
      <c r="B4689" s="1"/>
    </row>
    <row r="4690" spans="2:2" x14ac:dyDescent="0.25">
      <c r="B4690" s="1"/>
    </row>
    <row r="4691" spans="2:2" x14ac:dyDescent="0.25">
      <c r="B4691" s="1"/>
    </row>
    <row r="4692" spans="2:2" x14ac:dyDescent="0.25">
      <c r="B4692" s="1"/>
    </row>
    <row r="4693" spans="2:2" x14ac:dyDescent="0.25">
      <c r="B4693" s="1"/>
    </row>
    <row r="4694" spans="2:2" x14ac:dyDescent="0.25">
      <c r="B4694" s="1"/>
    </row>
    <row r="4695" spans="2:2" x14ac:dyDescent="0.25">
      <c r="B4695" s="1"/>
    </row>
    <row r="4696" spans="2:2" x14ac:dyDescent="0.25">
      <c r="B4696" s="1"/>
    </row>
    <row r="4697" spans="2:2" x14ac:dyDescent="0.25">
      <c r="B4697" s="1"/>
    </row>
    <row r="4698" spans="2:2" x14ac:dyDescent="0.25">
      <c r="B4698" s="1"/>
    </row>
    <row r="4699" spans="2:2" x14ac:dyDescent="0.25">
      <c r="B4699" s="1"/>
    </row>
    <row r="4700" spans="2:2" x14ac:dyDescent="0.25">
      <c r="B4700" s="1"/>
    </row>
    <row r="4701" spans="2:2" x14ac:dyDescent="0.25">
      <c r="B4701" s="1"/>
    </row>
    <row r="4702" spans="2:2" x14ac:dyDescent="0.25">
      <c r="B4702" s="1"/>
    </row>
    <row r="4703" spans="2:2" x14ac:dyDescent="0.25">
      <c r="B4703" s="1"/>
    </row>
    <row r="4704" spans="2:2" x14ac:dyDescent="0.25">
      <c r="B4704" s="1"/>
    </row>
    <row r="4705" spans="2:2" x14ac:dyDescent="0.25">
      <c r="B4705" s="1"/>
    </row>
    <row r="4706" spans="2:2" x14ac:dyDescent="0.25">
      <c r="B4706" s="1"/>
    </row>
    <row r="4707" spans="2:2" x14ac:dyDescent="0.25">
      <c r="B4707" s="1"/>
    </row>
    <row r="4708" spans="2:2" x14ac:dyDescent="0.25">
      <c r="B4708" s="1"/>
    </row>
    <row r="4709" spans="2:2" x14ac:dyDescent="0.25">
      <c r="B4709" s="1"/>
    </row>
    <row r="4710" spans="2:2" x14ac:dyDescent="0.25">
      <c r="B4710" s="1"/>
    </row>
    <row r="4711" spans="2:2" x14ac:dyDescent="0.25">
      <c r="B4711" s="1"/>
    </row>
    <row r="4712" spans="2:2" x14ac:dyDescent="0.25">
      <c r="B4712" s="1"/>
    </row>
    <row r="4713" spans="2:2" x14ac:dyDescent="0.25">
      <c r="B4713" s="1"/>
    </row>
    <row r="4714" spans="2:2" x14ac:dyDescent="0.25">
      <c r="B4714" s="1"/>
    </row>
    <row r="4715" spans="2:2" x14ac:dyDescent="0.25">
      <c r="B4715" s="1"/>
    </row>
    <row r="4716" spans="2:2" x14ac:dyDescent="0.25">
      <c r="B4716" s="1"/>
    </row>
    <row r="4717" spans="2:2" x14ac:dyDescent="0.25">
      <c r="B4717" s="1"/>
    </row>
    <row r="4718" spans="2:2" x14ac:dyDescent="0.25">
      <c r="B4718" s="1"/>
    </row>
    <row r="4719" spans="2:2" x14ac:dyDescent="0.25">
      <c r="B4719" s="1"/>
    </row>
    <row r="4720" spans="2:2" x14ac:dyDescent="0.25">
      <c r="B4720" s="1"/>
    </row>
    <row r="4721" spans="2:2" x14ac:dyDescent="0.25">
      <c r="B4721" s="1"/>
    </row>
    <row r="4722" spans="2:2" x14ac:dyDescent="0.25">
      <c r="B4722" s="1"/>
    </row>
    <row r="4723" spans="2:2" x14ac:dyDescent="0.25">
      <c r="B4723" s="1"/>
    </row>
    <row r="4724" spans="2:2" x14ac:dyDescent="0.25">
      <c r="B4724" s="1"/>
    </row>
    <row r="4725" spans="2:2" x14ac:dyDescent="0.25">
      <c r="B4725" s="1"/>
    </row>
    <row r="4726" spans="2:2" x14ac:dyDescent="0.25">
      <c r="B472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18</vt:i4>
      </vt:variant>
    </vt:vector>
  </HeadingPairs>
  <TitlesOfParts>
    <vt:vector size="25" baseType="lpstr">
      <vt:lpstr>EO-usuario</vt:lpstr>
      <vt:lpstr>TRASU</vt:lpstr>
      <vt:lpstr>Calculadora libre</vt:lpstr>
      <vt:lpstr>No laborables</vt:lpstr>
      <vt:lpstr>No laborables (2)</vt:lpstr>
      <vt:lpstr>Competencias</vt:lpstr>
      <vt:lpstr>Data</vt:lpstr>
      <vt:lpstr>diascal</vt:lpstr>
      <vt:lpstr>fecha2020</vt:lpstr>
      <vt:lpstr>fechas</vt:lpstr>
      <vt:lpstr>fechas2</vt:lpstr>
      <vt:lpstr>fechas3</vt:lpstr>
      <vt:lpstr>fechass</vt:lpstr>
      <vt:lpstr>fff</vt:lpstr>
      <vt:lpstr>habil</vt:lpstr>
      <vt:lpstr>lugar</vt:lpstr>
      <vt:lpstr>papa</vt:lpstr>
      <vt:lpstr>plaz2</vt:lpstr>
      <vt:lpstr>recu</vt:lpstr>
      <vt:lpstr>SINO</vt:lpstr>
      <vt:lpstr>tipo</vt:lpstr>
      <vt:lpstr>tipo2</vt:lpstr>
      <vt:lpstr>TIPO3</vt:lpstr>
      <vt:lpstr>tipo4</vt:lpstr>
      <vt:lpstr>TIPODIA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2026-01-06T14:47:01Z</dcterms:modified>
</cp:coreProperties>
</file>